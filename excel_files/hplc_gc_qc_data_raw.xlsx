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edoziesunday/Documents/HPLC-GC-QC-Data-Analytics2/raw_data/"/>
    </mc:Choice>
  </mc:AlternateContent>
  <xr:revisionPtr revIDLastSave="0" documentId="13_ncr:1_{B9433182-FF88-FE4D-9306-A91C41097B19}" xr6:coauthVersionLast="47" xr6:coauthVersionMax="47" xr10:uidLastSave="{00000000-0000-0000-0000-000000000000}"/>
  <bookViews>
    <workbookView xWindow="5080" yWindow="3560" windowWidth="20440" windowHeight="11040" activeTab="1" xr2:uid="{0A29174C-EB43-FA42-990F-97B7D8E68F1E}"/>
  </bookViews>
  <sheets>
    <sheet name="checking_missing values" sheetId="3" r:id="rId1"/>
    <sheet name="simulated_data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130" i="1"/>
  <c r="E146" i="1"/>
  <c r="E162" i="1"/>
  <c r="E178" i="1"/>
  <c r="E194" i="1"/>
  <c r="E210" i="1"/>
  <c r="E226" i="1"/>
  <c r="E329" i="1"/>
  <c r="E345" i="1"/>
  <c r="E349" i="1"/>
  <c r="E357" i="1"/>
  <c r="E373" i="1"/>
  <c r="E389" i="1"/>
  <c r="E393" i="1"/>
  <c r="E397" i="1"/>
  <c r="E401" i="1"/>
  <c r="E405" i="1"/>
  <c r="E429" i="1"/>
  <c r="E433" i="1"/>
  <c r="E437" i="1"/>
  <c r="E441" i="1"/>
  <c r="E2" i="1"/>
  <c r="G450" i="1"/>
  <c r="B450" i="1"/>
  <c r="G449" i="1"/>
  <c r="B449" i="1"/>
  <c r="G448" i="1"/>
  <c r="B448" i="1"/>
  <c r="G447" i="1"/>
  <c r="B447" i="1"/>
  <c r="D447" i="1" s="1"/>
  <c r="F447" i="1" s="1"/>
  <c r="G446" i="1"/>
  <c r="B446" i="1"/>
  <c r="G445" i="1"/>
  <c r="B445" i="1"/>
  <c r="G444" i="1"/>
  <c r="B444" i="1"/>
  <c r="G443" i="1"/>
  <c r="B443" i="1"/>
  <c r="D443" i="1" s="1"/>
  <c r="F443" i="1" s="1"/>
  <c r="G442" i="1"/>
  <c r="B442" i="1"/>
  <c r="G441" i="1"/>
  <c r="D441" i="1"/>
  <c r="F441" i="1" s="1"/>
  <c r="B441" i="1"/>
  <c r="C441" i="1" s="1"/>
  <c r="G440" i="1"/>
  <c r="B440" i="1"/>
  <c r="G439" i="1"/>
  <c r="B439" i="1"/>
  <c r="D439" i="1" s="1"/>
  <c r="F439" i="1" s="1"/>
  <c r="G438" i="1"/>
  <c r="B438" i="1"/>
  <c r="C438" i="1" s="1"/>
  <c r="E438" i="1" s="1"/>
  <c r="G437" i="1"/>
  <c r="B437" i="1"/>
  <c r="C437" i="1" s="1"/>
  <c r="G436" i="1"/>
  <c r="B436" i="1"/>
  <c r="G435" i="1"/>
  <c r="B435" i="1"/>
  <c r="G434" i="1"/>
  <c r="B434" i="1"/>
  <c r="C434" i="1" s="1"/>
  <c r="E434" i="1" s="1"/>
  <c r="G433" i="1"/>
  <c r="B433" i="1"/>
  <c r="C433" i="1" s="1"/>
  <c r="G432" i="1"/>
  <c r="B432" i="1"/>
  <c r="G431" i="1"/>
  <c r="B431" i="1"/>
  <c r="D431" i="1" s="1"/>
  <c r="F431" i="1" s="1"/>
  <c r="G430" i="1"/>
  <c r="B430" i="1"/>
  <c r="C430" i="1" s="1"/>
  <c r="E430" i="1" s="1"/>
  <c r="G429" i="1"/>
  <c r="B429" i="1"/>
  <c r="C429" i="1" s="1"/>
  <c r="G428" i="1"/>
  <c r="B428" i="1"/>
  <c r="G427" i="1"/>
  <c r="B427" i="1"/>
  <c r="D427" i="1" s="1"/>
  <c r="F427" i="1" s="1"/>
  <c r="G426" i="1"/>
  <c r="B426" i="1"/>
  <c r="C426" i="1" s="1"/>
  <c r="E426" i="1" s="1"/>
  <c r="G425" i="1"/>
  <c r="B425" i="1"/>
  <c r="D425" i="1" s="1"/>
  <c r="F425" i="1" s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D415" i="1" s="1"/>
  <c r="F415" i="1" s="1"/>
  <c r="G414" i="1"/>
  <c r="B414" i="1"/>
  <c r="G413" i="1"/>
  <c r="B413" i="1"/>
  <c r="G412" i="1"/>
  <c r="B412" i="1"/>
  <c r="G411" i="1"/>
  <c r="B411" i="1"/>
  <c r="D411" i="1" s="1"/>
  <c r="F411" i="1" s="1"/>
  <c r="G410" i="1"/>
  <c r="B410" i="1"/>
  <c r="G409" i="1"/>
  <c r="B409" i="1"/>
  <c r="D409" i="1" s="1"/>
  <c r="F409" i="1" s="1"/>
  <c r="G408" i="1"/>
  <c r="B408" i="1"/>
  <c r="G407" i="1"/>
  <c r="B407" i="1"/>
  <c r="D407" i="1" s="1"/>
  <c r="F407" i="1" s="1"/>
  <c r="G406" i="1"/>
  <c r="B406" i="1"/>
  <c r="C406" i="1" s="1"/>
  <c r="E406" i="1" s="1"/>
  <c r="G405" i="1"/>
  <c r="B405" i="1"/>
  <c r="C405" i="1" s="1"/>
  <c r="G404" i="1"/>
  <c r="B404" i="1"/>
  <c r="G403" i="1"/>
  <c r="B403" i="1"/>
  <c r="G402" i="1"/>
  <c r="B402" i="1"/>
  <c r="C402" i="1" s="1"/>
  <c r="E402" i="1" s="1"/>
  <c r="G401" i="1"/>
  <c r="B401" i="1"/>
  <c r="C401" i="1" s="1"/>
  <c r="G400" i="1"/>
  <c r="B400" i="1"/>
  <c r="G399" i="1"/>
  <c r="B399" i="1"/>
  <c r="D399" i="1" s="1"/>
  <c r="F399" i="1" s="1"/>
  <c r="G398" i="1"/>
  <c r="B398" i="1"/>
  <c r="C398" i="1" s="1"/>
  <c r="E398" i="1" s="1"/>
  <c r="G397" i="1"/>
  <c r="B397" i="1"/>
  <c r="C397" i="1" s="1"/>
  <c r="G396" i="1"/>
  <c r="B396" i="1"/>
  <c r="G395" i="1"/>
  <c r="B395" i="1"/>
  <c r="D395" i="1" s="1"/>
  <c r="F395" i="1" s="1"/>
  <c r="G394" i="1"/>
  <c r="B394" i="1"/>
  <c r="C394" i="1" s="1"/>
  <c r="E394" i="1" s="1"/>
  <c r="G393" i="1"/>
  <c r="B393" i="1"/>
  <c r="C393" i="1" s="1"/>
  <c r="G392" i="1"/>
  <c r="B392" i="1"/>
  <c r="C392" i="1" s="1"/>
  <c r="E392" i="1" s="1"/>
  <c r="G391" i="1"/>
  <c r="B391" i="1"/>
  <c r="G390" i="1"/>
  <c r="B390" i="1"/>
  <c r="D390" i="1" s="1"/>
  <c r="F390" i="1" s="1"/>
  <c r="G389" i="1"/>
  <c r="B389" i="1"/>
  <c r="C389" i="1" s="1"/>
  <c r="G388" i="1"/>
  <c r="B388" i="1"/>
  <c r="G387" i="1"/>
  <c r="B387" i="1"/>
  <c r="G386" i="1"/>
  <c r="B386" i="1"/>
  <c r="G385" i="1"/>
  <c r="B385" i="1"/>
  <c r="G384" i="1"/>
  <c r="B384" i="1"/>
  <c r="C384" i="1" s="1"/>
  <c r="E384" i="1" s="1"/>
  <c r="G383" i="1"/>
  <c r="B383" i="1"/>
  <c r="D383" i="1" s="1"/>
  <c r="F383" i="1" s="1"/>
  <c r="G382" i="1"/>
  <c r="B382" i="1"/>
  <c r="D382" i="1" s="1"/>
  <c r="F382" i="1" s="1"/>
  <c r="G381" i="1"/>
  <c r="B381" i="1"/>
  <c r="D381" i="1" s="1"/>
  <c r="F381" i="1" s="1"/>
  <c r="G380" i="1"/>
  <c r="B380" i="1"/>
  <c r="C380" i="1" s="1"/>
  <c r="E380" i="1" s="1"/>
  <c r="G379" i="1"/>
  <c r="B379" i="1"/>
  <c r="D379" i="1" s="1"/>
  <c r="F379" i="1" s="1"/>
  <c r="G378" i="1"/>
  <c r="B378" i="1"/>
  <c r="C378" i="1" s="1"/>
  <c r="E378" i="1" s="1"/>
  <c r="G377" i="1"/>
  <c r="B377" i="1"/>
  <c r="G376" i="1"/>
  <c r="B376" i="1"/>
  <c r="C376" i="1" s="1"/>
  <c r="E376" i="1" s="1"/>
  <c r="G375" i="1"/>
  <c r="B375" i="1"/>
  <c r="D375" i="1" s="1"/>
  <c r="F375" i="1" s="1"/>
  <c r="G374" i="1"/>
  <c r="B374" i="1"/>
  <c r="D374" i="1" s="1"/>
  <c r="F374" i="1" s="1"/>
  <c r="G373" i="1"/>
  <c r="B373" i="1"/>
  <c r="C373" i="1" s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D365" i="1" s="1"/>
  <c r="F365" i="1" s="1"/>
  <c r="G364" i="1"/>
  <c r="B364" i="1"/>
  <c r="G363" i="1"/>
  <c r="B363" i="1"/>
  <c r="G362" i="1"/>
  <c r="B362" i="1"/>
  <c r="G361" i="1"/>
  <c r="B361" i="1"/>
  <c r="G360" i="1"/>
  <c r="B360" i="1"/>
  <c r="G359" i="1"/>
  <c r="B359" i="1"/>
  <c r="D359" i="1" s="1"/>
  <c r="F359" i="1" s="1"/>
  <c r="G358" i="1"/>
  <c r="B358" i="1"/>
  <c r="D358" i="1" s="1"/>
  <c r="F358" i="1" s="1"/>
  <c r="G357" i="1"/>
  <c r="B357" i="1"/>
  <c r="C357" i="1" s="1"/>
  <c r="G356" i="1"/>
  <c r="B356" i="1"/>
  <c r="C356" i="1" s="1"/>
  <c r="E356" i="1" s="1"/>
  <c r="G355" i="1"/>
  <c r="B355" i="1"/>
  <c r="D355" i="1" s="1"/>
  <c r="F355" i="1" s="1"/>
  <c r="G354" i="1"/>
  <c r="B354" i="1"/>
  <c r="C354" i="1" s="1"/>
  <c r="E354" i="1" s="1"/>
  <c r="G353" i="1"/>
  <c r="B353" i="1"/>
  <c r="D353" i="1" s="1"/>
  <c r="F353" i="1" s="1"/>
  <c r="G352" i="1"/>
  <c r="B352" i="1"/>
  <c r="C352" i="1" s="1"/>
  <c r="E352" i="1" s="1"/>
  <c r="G351" i="1"/>
  <c r="B351" i="1"/>
  <c r="D351" i="1" s="1"/>
  <c r="F351" i="1" s="1"/>
  <c r="G350" i="1"/>
  <c r="B350" i="1"/>
  <c r="C350" i="1" s="1"/>
  <c r="E350" i="1" s="1"/>
  <c r="G349" i="1"/>
  <c r="B349" i="1"/>
  <c r="C349" i="1" s="1"/>
  <c r="G348" i="1"/>
  <c r="B348" i="1"/>
  <c r="G347" i="1"/>
  <c r="B347" i="1"/>
  <c r="G346" i="1"/>
  <c r="B346" i="1"/>
  <c r="C346" i="1" s="1"/>
  <c r="E346" i="1" s="1"/>
  <c r="G345" i="1"/>
  <c r="B345" i="1"/>
  <c r="C345" i="1" s="1"/>
  <c r="G344" i="1"/>
  <c r="B344" i="1"/>
  <c r="C344" i="1" s="1"/>
  <c r="E344" i="1" s="1"/>
  <c r="G343" i="1"/>
  <c r="B343" i="1"/>
  <c r="G342" i="1"/>
  <c r="B342" i="1"/>
  <c r="D342" i="1" s="1"/>
  <c r="F342" i="1" s="1"/>
  <c r="G341" i="1"/>
  <c r="B341" i="1"/>
  <c r="C341" i="1" s="1"/>
  <c r="E341" i="1" s="1"/>
  <c r="G340" i="1"/>
  <c r="B340" i="1"/>
  <c r="C340" i="1" s="1"/>
  <c r="E340" i="1" s="1"/>
  <c r="G339" i="1"/>
  <c r="B339" i="1"/>
  <c r="G338" i="1"/>
  <c r="B338" i="1"/>
  <c r="D338" i="1" s="1"/>
  <c r="F338" i="1" s="1"/>
  <c r="G337" i="1"/>
  <c r="B337" i="1"/>
  <c r="D337" i="1" s="1"/>
  <c r="F337" i="1" s="1"/>
  <c r="G336" i="1"/>
  <c r="B336" i="1"/>
  <c r="G335" i="1"/>
  <c r="B335" i="1"/>
  <c r="G334" i="1"/>
  <c r="B334" i="1"/>
  <c r="G333" i="1"/>
  <c r="B333" i="1"/>
  <c r="C333" i="1" s="1"/>
  <c r="E333" i="1" s="1"/>
  <c r="G332" i="1"/>
  <c r="B332" i="1"/>
  <c r="C332" i="1" s="1"/>
  <c r="E332" i="1" s="1"/>
  <c r="G331" i="1"/>
  <c r="B331" i="1"/>
  <c r="D331" i="1" s="1"/>
  <c r="F331" i="1" s="1"/>
  <c r="G330" i="1"/>
  <c r="B330" i="1"/>
  <c r="C330" i="1" s="1"/>
  <c r="E330" i="1" s="1"/>
  <c r="G329" i="1"/>
  <c r="B329" i="1"/>
  <c r="C329" i="1" s="1"/>
  <c r="G328" i="1"/>
  <c r="B328" i="1"/>
  <c r="C328" i="1" s="1"/>
  <c r="E328" i="1" s="1"/>
  <c r="G327" i="1"/>
  <c r="B327" i="1"/>
  <c r="D327" i="1" s="1"/>
  <c r="F327" i="1" s="1"/>
  <c r="G326" i="1"/>
  <c r="B326" i="1"/>
  <c r="C326" i="1" s="1"/>
  <c r="E326" i="1" s="1"/>
  <c r="G325" i="1"/>
  <c r="B325" i="1"/>
  <c r="C325" i="1" s="1"/>
  <c r="E325" i="1" s="1"/>
  <c r="G324" i="1"/>
  <c r="B324" i="1"/>
  <c r="C324" i="1" s="1"/>
  <c r="E324" i="1" s="1"/>
  <c r="G323" i="1"/>
  <c r="B323" i="1"/>
  <c r="G322" i="1"/>
  <c r="B322" i="1"/>
  <c r="D322" i="1" s="1"/>
  <c r="F322" i="1" s="1"/>
  <c r="G321" i="1"/>
  <c r="B321" i="1"/>
  <c r="D321" i="1" s="1"/>
  <c r="F321" i="1" s="1"/>
  <c r="G320" i="1"/>
  <c r="B320" i="1"/>
  <c r="G319" i="1"/>
  <c r="B319" i="1"/>
  <c r="G318" i="1"/>
  <c r="B318" i="1"/>
  <c r="G317" i="1"/>
  <c r="B317" i="1"/>
  <c r="C317" i="1" s="1"/>
  <c r="E317" i="1" s="1"/>
  <c r="G316" i="1"/>
  <c r="B316" i="1"/>
  <c r="C316" i="1" s="1"/>
  <c r="E316" i="1" s="1"/>
  <c r="G315" i="1"/>
  <c r="B315" i="1"/>
  <c r="D315" i="1" s="1"/>
  <c r="F315" i="1" s="1"/>
  <c r="G314" i="1"/>
  <c r="B314" i="1"/>
  <c r="D314" i="1" s="1"/>
  <c r="F314" i="1" s="1"/>
  <c r="G313" i="1"/>
  <c r="B313" i="1"/>
  <c r="D313" i="1" s="1"/>
  <c r="F313" i="1" s="1"/>
  <c r="G312" i="1"/>
  <c r="B312" i="1"/>
  <c r="C312" i="1" s="1"/>
  <c r="E312" i="1" s="1"/>
  <c r="G311" i="1"/>
  <c r="B311" i="1"/>
  <c r="D311" i="1" s="1"/>
  <c r="F311" i="1" s="1"/>
  <c r="G310" i="1"/>
  <c r="B310" i="1"/>
  <c r="C310" i="1" s="1"/>
  <c r="E310" i="1" s="1"/>
  <c r="G309" i="1"/>
  <c r="B309" i="1"/>
  <c r="C309" i="1" s="1"/>
  <c r="E309" i="1" s="1"/>
  <c r="G308" i="1"/>
  <c r="B308" i="1"/>
  <c r="C308" i="1" s="1"/>
  <c r="E308" i="1" s="1"/>
  <c r="G307" i="1"/>
  <c r="B307" i="1"/>
  <c r="G306" i="1"/>
  <c r="B306" i="1"/>
  <c r="D306" i="1" s="1"/>
  <c r="F306" i="1" s="1"/>
  <c r="G305" i="1"/>
  <c r="B305" i="1"/>
  <c r="D305" i="1" s="1"/>
  <c r="F305" i="1" s="1"/>
  <c r="G304" i="1"/>
  <c r="B304" i="1"/>
  <c r="G303" i="1"/>
  <c r="B303" i="1"/>
  <c r="G302" i="1"/>
  <c r="B302" i="1"/>
  <c r="G301" i="1"/>
  <c r="B301" i="1"/>
  <c r="C301" i="1" s="1"/>
  <c r="E301" i="1" s="1"/>
  <c r="G300" i="1"/>
  <c r="B300" i="1"/>
  <c r="C300" i="1" s="1"/>
  <c r="E300" i="1" s="1"/>
  <c r="G299" i="1"/>
  <c r="B299" i="1"/>
  <c r="D299" i="1" s="1"/>
  <c r="F299" i="1" s="1"/>
  <c r="G298" i="1"/>
  <c r="B298" i="1"/>
  <c r="D298" i="1" s="1"/>
  <c r="F298" i="1" s="1"/>
  <c r="G297" i="1"/>
  <c r="B297" i="1"/>
  <c r="D297" i="1" s="1"/>
  <c r="F297" i="1" s="1"/>
  <c r="G296" i="1"/>
  <c r="B296" i="1"/>
  <c r="C296" i="1" s="1"/>
  <c r="E296" i="1" s="1"/>
  <c r="G295" i="1"/>
  <c r="B295" i="1"/>
  <c r="D295" i="1" s="1"/>
  <c r="F295" i="1" s="1"/>
  <c r="G294" i="1"/>
  <c r="B294" i="1"/>
  <c r="C294" i="1" s="1"/>
  <c r="E294" i="1" s="1"/>
  <c r="G293" i="1"/>
  <c r="B293" i="1"/>
  <c r="C293" i="1" s="1"/>
  <c r="E293" i="1" s="1"/>
  <c r="G292" i="1"/>
  <c r="B292" i="1"/>
  <c r="C292" i="1" s="1"/>
  <c r="E292" i="1" s="1"/>
  <c r="G291" i="1"/>
  <c r="B291" i="1"/>
  <c r="G290" i="1"/>
  <c r="B290" i="1"/>
  <c r="D290" i="1" s="1"/>
  <c r="F290" i="1" s="1"/>
  <c r="G289" i="1"/>
  <c r="B289" i="1"/>
  <c r="D289" i="1" s="1"/>
  <c r="F289" i="1" s="1"/>
  <c r="G288" i="1"/>
  <c r="B288" i="1"/>
  <c r="G287" i="1"/>
  <c r="B287" i="1"/>
  <c r="G286" i="1"/>
  <c r="B286" i="1"/>
  <c r="G285" i="1"/>
  <c r="B285" i="1"/>
  <c r="C285" i="1" s="1"/>
  <c r="E285" i="1" s="1"/>
  <c r="G284" i="1"/>
  <c r="B284" i="1"/>
  <c r="C284" i="1" s="1"/>
  <c r="E284" i="1" s="1"/>
  <c r="G283" i="1"/>
  <c r="B283" i="1"/>
  <c r="D283" i="1" s="1"/>
  <c r="F283" i="1" s="1"/>
  <c r="G282" i="1"/>
  <c r="B282" i="1"/>
  <c r="D282" i="1" s="1"/>
  <c r="F282" i="1" s="1"/>
  <c r="G281" i="1"/>
  <c r="B281" i="1"/>
  <c r="D281" i="1" s="1"/>
  <c r="F281" i="1" s="1"/>
  <c r="G280" i="1"/>
  <c r="B280" i="1"/>
  <c r="C280" i="1" s="1"/>
  <c r="E280" i="1" s="1"/>
  <c r="G279" i="1"/>
  <c r="B279" i="1"/>
  <c r="D279" i="1" s="1"/>
  <c r="F279" i="1" s="1"/>
  <c r="G278" i="1"/>
  <c r="B278" i="1"/>
  <c r="C278" i="1" s="1"/>
  <c r="E278" i="1" s="1"/>
  <c r="G277" i="1"/>
  <c r="B277" i="1"/>
  <c r="C277" i="1" s="1"/>
  <c r="E277" i="1" s="1"/>
  <c r="G276" i="1"/>
  <c r="B276" i="1"/>
  <c r="C276" i="1" s="1"/>
  <c r="E276" i="1" s="1"/>
  <c r="G275" i="1"/>
  <c r="B275" i="1"/>
  <c r="G274" i="1"/>
  <c r="B274" i="1"/>
  <c r="C274" i="1" s="1"/>
  <c r="E274" i="1" s="1"/>
  <c r="G273" i="1"/>
  <c r="B273" i="1"/>
  <c r="D273" i="1" s="1"/>
  <c r="F273" i="1" s="1"/>
  <c r="G272" i="1"/>
  <c r="B272" i="1"/>
  <c r="C272" i="1" s="1"/>
  <c r="E272" i="1" s="1"/>
  <c r="G271" i="1"/>
  <c r="B271" i="1"/>
  <c r="D271" i="1" s="1"/>
  <c r="F271" i="1" s="1"/>
  <c r="G270" i="1"/>
  <c r="B270" i="1"/>
  <c r="D270" i="1" s="1"/>
  <c r="F270" i="1" s="1"/>
  <c r="G269" i="1"/>
  <c r="B269" i="1"/>
  <c r="D269" i="1" s="1"/>
  <c r="F269" i="1" s="1"/>
  <c r="G268" i="1"/>
  <c r="B268" i="1"/>
  <c r="C268" i="1" s="1"/>
  <c r="E268" i="1" s="1"/>
  <c r="G267" i="1"/>
  <c r="B267" i="1"/>
  <c r="D267" i="1" s="1"/>
  <c r="F267" i="1" s="1"/>
  <c r="G266" i="1"/>
  <c r="B266" i="1"/>
  <c r="D266" i="1" s="1"/>
  <c r="F266" i="1" s="1"/>
  <c r="G265" i="1"/>
  <c r="B265" i="1"/>
  <c r="D265" i="1" s="1"/>
  <c r="F265" i="1" s="1"/>
  <c r="G264" i="1"/>
  <c r="B264" i="1"/>
  <c r="C264" i="1" s="1"/>
  <c r="E264" i="1" s="1"/>
  <c r="G263" i="1"/>
  <c r="B263" i="1"/>
  <c r="D263" i="1" s="1"/>
  <c r="F263" i="1" s="1"/>
  <c r="G262" i="1"/>
  <c r="B262" i="1"/>
  <c r="D262" i="1" s="1"/>
  <c r="F262" i="1" s="1"/>
  <c r="G261" i="1"/>
  <c r="B261" i="1"/>
  <c r="D261" i="1" s="1"/>
  <c r="F261" i="1" s="1"/>
  <c r="G260" i="1"/>
  <c r="B260" i="1"/>
  <c r="C260" i="1" s="1"/>
  <c r="E260" i="1" s="1"/>
  <c r="G259" i="1"/>
  <c r="B259" i="1"/>
  <c r="D259" i="1" s="1"/>
  <c r="F259" i="1" s="1"/>
  <c r="G258" i="1"/>
  <c r="B258" i="1"/>
  <c r="C258" i="1" s="1"/>
  <c r="E258" i="1" s="1"/>
  <c r="G257" i="1"/>
  <c r="B257" i="1"/>
  <c r="D257" i="1" s="1"/>
  <c r="F257" i="1" s="1"/>
  <c r="G256" i="1"/>
  <c r="B256" i="1"/>
  <c r="C256" i="1" s="1"/>
  <c r="E256" i="1" s="1"/>
  <c r="G255" i="1"/>
  <c r="B255" i="1"/>
  <c r="D255" i="1" s="1"/>
  <c r="F255" i="1" s="1"/>
  <c r="G254" i="1"/>
  <c r="B254" i="1"/>
  <c r="D254" i="1" s="1"/>
  <c r="F254" i="1" s="1"/>
  <c r="G253" i="1"/>
  <c r="B253" i="1"/>
  <c r="D253" i="1" s="1"/>
  <c r="F253" i="1" s="1"/>
  <c r="G252" i="1"/>
  <c r="B252" i="1"/>
  <c r="C252" i="1" s="1"/>
  <c r="E252" i="1" s="1"/>
  <c r="G251" i="1"/>
  <c r="B251" i="1"/>
  <c r="D251" i="1" s="1"/>
  <c r="F251" i="1" s="1"/>
  <c r="G250" i="1"/>
  <c r="B250" i="1"/>
  <c r="D250" i="1" s="1"/>
  <c r="F250" i="1" s="1"/>
  <c r="G249" i="1"/>
  <c r="B249" i="1"/>
  <c r="D249" i="1" s="1"/>
  <c r="F249" i="1" s="1"/>
  <c r="G248" i="1"/>
  <c r="B248" i="1"/>
  <c r="C248" i="1" s="1"/>
  <c r="E248" i="1" s="1"/>
  <c r="G247" i="1"/>
  <c r="B247" i="1"/>
  <c r="D247" i="1" s="1"/>
  <c r="F247" i="1" s="1"/>
  <c r="G246" i="1"/>
  <c r="B246" i="1"/>
  <c r="D246" i="1" s="1"/>
  <c r="F246" i="1" s="1"/>
  <c r="G245" i="1"/>
  <c r="B245" i="1"/>
  <c r="D245" i="1" s="1"/>
  <c r="F245" i="1" s="1"/>
  <c r="G244" i="1"/>
  <c r="B244" i="1"/>
  <c r="C244" i="1" s="1"/>
  <c r="E244" i="1" s="1"/>
  <c r="G243" i="1"/>
  <c r="B243" i="1"/>
  <c r="D243" i="1" s="1"/>
  <c r="F243" i="1" s="1"/>
  <c r="G242" i="1"/>
  <c r="B242" i="1"/>
  <c r="C242" i="1" s="1"/>
  <c r="E242" i="1" s="1"/>
  <c r="G241" i="1"/>
  <c r="B241" i="1"/>
  <c r="D241" i="1" s="1"/>
  <c r="F241" i="1" s="1"/>
  <c r="G240" i="1"/>
  <c r="B240" i="1"/>
  <c r="C240" i="1" s="1"/>
  <c r="E240" i="1" s="1"/>
  <c r="G239" i="1"/>
  <c r="B239" i="1"/>
  <c r="D239" i="1" s="1"/>
  <c r="F239" i="1" s="1"/>
  <c r="G238" i="1"/>
  <c r="B238" i="1"/>
  <c r="D238" i="1" s="1"/>
  <c r="F238" i="1" s="1"/>
  <c r="G237" i="1"/>
  <c r="B237" i="1"/>
  <c r="C237" i="1" s="1"/>
  <c r="E237" i="1" s="1"/>
  <c r="G236" i="1"/>
  <c r="B236" i="1"/>
  <c r="C236" i="1" s="1"/>
  <c r="E236" i="1" s="1"/>
  <c r="G235" i="1"/>
  <c r="B235" i="1"/>
  <c r="D235" i="1" s="1"/>
  <c r="F235" i="1" s="1"/>
  <c r="G234" i="1"/>
  <c r="B234" i="1"/>
  <c r="D234" i="1" s="1"/>
  <c r="F234" i="1" s="1"/>
  <c r="G233" i="1"/>
  <c r="B233" i="1"/>
  <c r="D233" i="1" s="1"/>
  <c r="F233" i="1" s="1"/>
  <c r="G232" i="1"/>
  <c r="B232" i="1"/>
  <c r="C232" i="1" s="1"/>
  <c r="E232" i="1" s="1"/>
  <c r="G231" i="1"/>
  <c r="B231" i="1"/>
  <c r="D231" i="1" s="1"/>
  <c r="F231" i="1" s="1"/>
  <c r="G230" i="1"/>
  <c r="B230" i="1"/>
  <c r="C230" i="1" s="1"/>
  <c r="E230" i="1" s="1"/>
  <c r="G229" i="1"/>
  <c r="B229" i="1"/>
  <c r="C229" i="1" s="1"/>
  <c r="E229" i="1" s="1"/>
  <c r="G228" i="1"/>
  <c r="B228" i="1"/>
  <c r="C228" i="1" s="1"/>
  <c r="E228" i="1" s="1"/>
  <c r="G227" i="1"/>
  <c r="B227" i="1"/>
  <c r="D227" i="1" s="1"/>
  <c r="F227" i="1" s="1"/>
  <c r="G226" i="1"/>
  <c r="B226" i="1"/>
  <c r="C226" i="1" s="1"/>
  <c r="G225" i="1"/>
  <c r="B225" i="1"/>
  <c r="D225" i="1" s="1"/>
  <c r="F225" i="1" s="1"/>
  <c r="G224" i="1"/>
  <c r="B224" i="1"/>
  <c r="C224" i="1" s="1"/>
  <c r="E224" i="1" s="1"/>
  <c r="G223" i="1"/>
  <c r="B223" i="1"/>
  <c r="D223" i="1" s="1"/>
  <c r="F223" i="1" s="1"/>
  <c r="G222" i="1"/>
  <c r="B222" i="1"/>
  <c r="D222" i="1" s="1"/>
  <c r="F222" i="1" s="1"/>
  <c r="G221" i="1"/>
  <c r="B221" i="1"/>
  <c r="D221" i="1" s="1"/>
  <c r="F221" i="1" s="1"/>
  <c r="G220" i="1"/>
  <c r="B220" i="1"/>
  <c r="C220" i="1" s="1"/>
  <c r="E220" i="1" s="1"/>
  <c r="G219" i="1"/>
  <c r="B219" i="1"/>
  <c r="D219" i="1" s="1"/>
  <c r="F219" i="1" s="1"/>
  <c r="G218" i="1"/>
  <c r="B218" i="1"/>
  <c r="D218" i="1" s="1"/>
  <c r="F218" i="1" s="1"/>
  <c r="G217" i="1"/>
  <c r="B217" i="1"/>
  <c r="D217" i="1" s="1"/>
  <c r="F217" i="1" s="1"/>
  <c r="G216" i="1"/>
  <c r="B216" i="1"/>
  <c r="C216" i="1" s="1"/>
  <c r="E216" i="1" s="1"/>
  <c r="G215" i="1"/>
  <c r="B215" i="1"/>
  <c r="D215" i="1" s="1"/>
  <c r="F215" i="1" s="1"/>
  <c r="G214" i="1"/>
  <c r="B214" i="1"/>
  <c r="D214" i="1" s="1"/>
  <c r="F214" i="1" s="1"/>
  <c r="G213" i="1"/>
  <c r="B213" i="1"/>
  <c r="D213" i="1" s="1"/>
  <c r="F213" i="1" s="1"/>
  <c r="G212" i="1"/>
  <c r="B212" i="1"/>
  <c r="C212" i="1" s="1"/>
  <c r="E212" i="1" s="1"/>
  <c r="G211" i="1"/>
  <c r="B211" i="1"/>
  <c r="D211" i="1" s="1"/>
  <c r="F211" i="1" s="1"/>
  <c r="G210" i="1"/>
  <c r="B210" i="1"/>
  <c r="C210" i="1" s="1"/>
  <c r="G209" i="1"/>
  <c r="B209" i="1"/>
  <c r="D209" i="1" s="1"/>
  <c r="F209" i="1" s="1"/>
  <c r="G208" i="1"/>
  <c r="B208" i="1"/>
  <c r="C208" i="1" s="1"/>
  <c r="E208" i="1" s="1"/>
  <c r="G207" i="1"/>
  <c r="B207" i="1"/>
  <c r="D207" i="1" s="1"/>
  <c r="F207" i="1" s="1"/>
  <c r="G206" i="1"/>
  <c r="B206" i="1"/>
  <c r="D206" i="1" s="1"/>
  <c r="F206" i="1" s="1"/>
  <c r="G205" i="1"/>
  <c r="B205" i="1"/>
  <c r="D205" i="1" s="1"/>
  <c r="F205" i="1" s="1"/>
  <c r="G204" i="1"/>
  <c r="B204" i="1"/>
  <c r="C204" i="1" s="1"/>
  <c r="E204" i="1" s="1"/>
  <c r="G203" i="1"/>
  <c r="B203" i="1"/>
  <c r="D203" i="1" s="1"/>
  <c r="F203" i="1" s="1"/>
  <c r="G202" i="1"/>
  <c r="B202" i="1"/>
  <c r="D202" i="1" s="1"/>
  <c r="F202" i="1" s="1"/>
  <c r="G201" i="1"/>
  <c r="B201" i="1"/>
  <c r="D201" i="1" s="1"/>
  <c r="F201" i="1" s="1"/>
  <c r="G200" i="1"/>
  <c r="B200" i="1"/>
  <c r="C200" i="1" s="1"/>
  <c r="E200" i="1" s="1"/>
  <c r="G199" i="1"/>
  <c r="B199" i="1"/>
  <c r="D199" i="1" s="1"/>
  <c r="F199" i="1" s="1"/>
  <c r="G198" i="1"/>
  <c r="B198" i="1"/>
  <c r="C198" i="1" s="1"/>
  <c r="E198" i="1" s="1"/>
  <c r="G197" i="1"/>
  <c r="B197" i="1"/>
  <c r="C197" i="1" s="1"/>
  <c r="E197" i="1" s="1"/>
  <c r="G196" i="1"/>
  <c r="B196" i="1"/>
  <c r="C196" i="1" s="1"/>
  <c r="E196" i="1" s="1"/>
  <c r="G195" i="1"/>
  <c r="B195" i="1"/>
  <c r="D195" i="1" s="1"/>
  <c r="F195" i="1" s="1"/>
  <c r="G194" i="1"/>
  <c r="B194" i="1"/>
  <c r="C194" i="1" s="1"/>
  <c r="G193" i="1"/>
  <c r="B193" i="1"/>
  <c r="D193" i="1" s="1"/>
  <c r="F193" i="1" s="1"/>
  <c r="G192" i="1"/>
  <c r="B192" i="1"/>
  <c r="C192" i="1" s="1"/>
  <c r="E192" i="1" s="1"/>
  <c r="G191" i="1"/>
  <c r="B191" i="1"/>
  <c r="D191" i="1" s="1"/>
  <c r="F191" i="1" s="1"/>
  <c r="G190" i="1"/>
  <c r="B190" i="1"/>
  <c r="D190" i="1" s="1"/>
  <c r="F190" i="1" s="1"/>
  <c r="G189" i="1"/>
  <c r="B189" i="1"/>
  <c r="C189" i="1" s="1"/>
  <c r="E189" i="1" s="1"/>
  <c r="G188" i="1"/>
  <c r="B188" i="1"/>
  <c r="C188" i="1" s="1"/>
  <c r="E188" i="1" s="1"/>
  <c r="G187" i="1"/>
  <c r="B187" i="1"/>
  <c r="D187" i="1" s="1"/>
  <c r="F187" i="1" s="1"/>
  <c r="G186" i="1"/>
  <c r="B186" i="1"/>
  <c r="D186" i="1" s="1"/>
  <c r="F186" i="1" s="1"/>
  <c r="G185" i="1"/>
  <c r="B185" i="1"/>
  <c r="D185" i="1" s="1"/>
  <c r="F185" i="1" s="1"/>
  <c r="G184" i="1"/>
  <c r="B184" i="1"/>
  <c r="C184" i="1" s="1"/>
  <c r="E184" i="1" s="1"/>
  <c r="G183" i="1"/>
  <c r="B183" i="1"/>
  <c r="D183" i="1" s="1"/>
  <c r="F183" i="1" s="1"/>
  <c r="G182" i="1"/>
  <c r="B182" i="1"/>
  <c r="D182" i="1" s="1"/>
  <c r="F182" i="1" s="1"/>
  <c r="G181" i="1"/>
  <c r="B181" i="1"/>
  <c r="D181" i="1" s="1"/>
  <c r="F181" i="1" s="1"/>
  <c r="G180" i="1"/>
  <c r="B180" i="1"/>
  <c r="C180" i="1" s="1"/>
  <c r="E180" i="1" s="1"/>
  <c r="G179" i="1"/>
  <c r="B179" i="1"/>
  <c r="D179" i="1" s="1"/>
  <c r="F179" i="1" s="1"/>
  <c r="G178" i="1"/>
  <c r="B178" i="1"/>
  <c r="C178" i="1" s="1"/>
  <c r="G177" i="1"/>
  <c r="B177" i="1"/>
  <c r="D177" i="1" s="1"/>
  <c r="F177" i="1" s="1"/>
  <c r="G176" i="1"/>
  <c r="B176" i="1"/>
  <c r="C176" i="1" s="1"/>
  <c r="E176" i="1" s="1"/>
  <c r="G175" i="1"/>
  <c r="B175" i="1"/>
  <c r="D175" i="1" s="1"/>
  <c r="F175" i="1" s="1"/>
  <c r="G174" i="1"/>
  <c r="B174" i="1"/>
  <c r="D174" i="1" s="1"/>
  <c r="F174" i="1" s="1"/>
  <c r="G173" i="1"/>
  <c r="B173" i="1"/>
  <c r="D173" i="1" s="1"/>
  <c r="F173" i="1" s="1"/>
  <c r="G172" i="1"/>
  <c r="B172" i="1"/>
  <c r="C172" i="1" s="1"/>
  <c r="E172" i="1" s="1"/>
  <c r="G171" i="1"/>
  <c r="B171" i="1"/>
  <c r="D171" i="1" s="1"/>
  <c r="F171" i="1" s="1"/>
  <c r="G170" i="1"/>
  <c r="B170" i="1"/>
  <c r="D170" i="1" s="1"/>
  <c r="F170" i="1" s="1"/>
  <c r="G169" i="1"/>
  <c r="B169" i="1"/>
  <c r="D169" i="1" s="1"/>
  <c r="F169" i="1" s="1"/>
  <c r="G168" i="1"/>
  <c r="B168" i="1"/>
  <c r="C168" i="1" s="1"/>
  <c r="E168" i="1" s="1"/>
  <c r="G167" i="1"/>
  <c r="B167" i="1"/>
  <c r="D167" i="1" s="1"/>
  <c r="F167" i="1" s="1"/>
  <c r="G166" i="1"/>
  <c r="B166" i="1"/>
  <c r="D166" i="1" s="1"/>
  <c r="F166" i="1" s="1"/>
  <c r="G165" i="1"/>
  <c r="B165" i="1"/>
  <c r="D165" i="1" s="1"/>
  <c r="F165" i="1" s="1"/>
  <c r="G164" i="1"/>
  <c r="B164" i="1"/>
  <c r="C164" i="1" s="1"/>
  <c r="E164" i="1" s="1"/>
  <c r="G163" i="1"/>
  <c r="B163" i="1"/>
  <c r="D163" i="1" s="1"/>
  <c r="F163" i="1" s="1"/>
  <c r="G162" i="1"/>
  <c r="B162" i="1"/>
  <c r="C162" i="1" s="1"/>
  <c r="G161" i="1"/>
  <c r="B161" i="1"/>
  <c r="D161" i="1" s="1"/>
  <c r="F161" i="1" s="1"/>
  <c r="G160" i="1"/>
  <c r="B160" i="1"/>
  <c r="C160" i="1" s="1"/>
  <c r="E160" i="1" s="1"/>
  <c r="G159" i="1"/>
  <c r="B159" i="1"/>
  <c r="D159" i="1" s="1"/>
  <c r="F159" i="1" s="1"/>
  <c r="G158" i="1"/>
  <c r="B158" i="1"/>
  <c r="D158" i="1" s="1"/>
  <c r="F158" i="1" s="1"/>
  <c r="G157" i="1"/>
  <c r="B157" i="1"/>
  <c r="C157" i="1" s="1"/>
  <c r="E157" i="1" s="1"/>
  <c r="G156" i="1"/>
  <c r="B156" i="1"/>
  <c r="C156" i="1" s="1"/>
  <c r="E156" i="1" s="1"/>
  <c r="G155" i="1"/>
  <c r="B155" i="1"/>
  <c r="D155" i="1" s="1"/>
  <c r="F155" i="1" s="1"/>
  <c r="G154" i="1"/>
  <c r="B154" i="1"/>
  <c r="D154" i="1" s="1"/>
  <c r="F154" i="1" s="1"/>
  <c r="G153" i="1"/>
  <c r="B153" i="1"/>
  <c r="D153" i="1" s="1"/>
  <c r="F153" i="1" s="1"/>
  <c r="G152" i="1"/>
  <c r="B152" i="1"/>
  <c r="C152" i="1" s="1"/>
  <c r="E152" i="1" s="1"/>
  <c r="G151" i="1"/>
  <c r="B151" i="1"/>
  <c r="D151" i="1" s="1"/>
  <c r="F151" i="1" s="1"/>
  <c r="G150" i="1"/>
  <c r="B150" i="1"/>
  <c r="D150" i="1" s="1"/>
  <c r="F150" i="1" s="1"/>
  <c r="G149" i="1"/>
  <c r="B149" i="1"/>
  <c r="D149" i="1" s="1"/>
  <c r="F149" i="1" s="1"/>
  <c r="G148" i="1"/>
  <c r="B148" i="1"/>
  <c r="C148" i="1" s="1"/>
  <c r="E148" i="1" s="1"/>
  <c r="G147" i="1"/>
  <c r="B147" i="1"/>
  <c r="D147" i="1" s="1"/>
  <c r="F147" i="1" s="1"/>
  <c r="G146" i="1"/>
  <c r="B146" i="1"/>
  <c r="C146" i="1" s="1"/>
  <c r="G145" i="1"/>
  <c r="B145" i="1"/>
  <c r="D145" i="1" s="1"/>
  <c r="F145" i="1" s="1"/>
  <c r="G144" i="1"/>
  <c r="B144" i="1"/>
  <c r="C144" i="1" s="1"/>
  <c r="E144" i="1" s="1"/>
  <c r="G143" i="1"/>
  <c r="B143" i="1"/>
  <c r="D143" i="1" s="1"/>
  <c r="F143" i="1" s="1"/>
  <c r="G142" i="1"/>
  <c r="B142" i="1"/>
  <c r="D142" i="1" s="1"/>
  <c r="F142" i="1" s="1"/>
  <c r="G141" i="1"/>
  <c r="B141" i="1"/>
  <c r="D141" i="1" s="1"/>
  <c r="F141" i="1" s="1"/>
  <c r="G140" i="1"/>
  <c r="B140" i="1"/>
  <c r="C140" i="1" s="1"/>
  <c r="E140" i="1" s="1"/>
  <c r="G139" i="1"/>
  <c r="B139" i="1"/>
  <c r="D139" i="1" s="1"/>
  <c r="F139" i="1" s="1"/>
  <c r="G138" i="1"/>
  <c r="B138" i="1"/>
  <c r="D138" i="1" s="1"/>
  <c r="F138" i="1" s="1"/>
  <c r="G137" i="1"/>
  <c r="B137" i="1"/>
  <c r="D137" i="1" s="1"/>
  <c r="F137" i="1" s="1"/>
  <c r="G136" i="1"/>
  <c r="B136" i="1"/>
  <c r="C136" i="1" s="1"/>
  <c r="E136" i="1" s="1"/>
  <c r="G135" i="1"/>
  <c r="B135" i="1"/>
  <c r="D135" i="1" s="1"/>
  <c r="F135" i="1" s="1"/>
  <c r="G134" i="1"/>
  <c r="B134" i="1"/>
  <c r="D134" i="1" s="1"/>
  <c r="F134" i="1" s="1"/>
  <c r="G133" i="1"/>
  <c r="B133" i="1"/>
  <c r="D133" i="1" s="1"/>
  <c r="F133" i="1" s="1"/>
  <c r="G132" i="1"/>
  <c r="B132" i="1"/>
  <c r="C132" i="1" s="1"/>
  <c r="E132" i="1" s="1"/>
  <c r="G131" i="1"/>
  <c r="B131" i="1"/>
  <c r="D131" i="1" s="1"/>
  <c r="F131" i="1" s="1"/>
  <c r="G130" i="1"/>
  <c r="B130" i="1"/>
  <c r="C130" i="1" s="1"/>
  <c r="G129" i="1"/>
  <c r="B129" i="1"/>
  <c r="D129" i="1" s="1"/>
  <c r="F129" i="1" s="1"/>
  <c r="G128" i="1"/>
  <c r="B128" i="1"/>
  <c r="C128" i="1" s="1"/>
  <c r="E128" i="1" s="1"/>
  <c r="G127" i="1"/>
  <c r="B127" i="1"/>
  <c r="D127" i="1" s="1"/>
  <c r="F127" i="1" s="1"/>
  <c r="G126" i="1"/>
  <c r="B126" i="1"/>
  <c r="D126" i="1" s="1"/>
  <c r="F126" i="1" s="1"/>
  <c r="G125" i="1"/>
  <c r="B125" i="1"/>
  <c r="D125" i="1" s="1"/>
  <c r="F125" i="1" s="1"/>
  <c r="G124" i="1"/>
  <c r="B124" i="1"/>
  <c r="C124" i="1" s="1"/>
  <c r="E124" i="1" s="1"/>
  <c r="G123" i="1"/>
  <c r="B123" i="1"/>
  <c r="D123" i="1" s="1"/>
  <c r="F123" i="1" s="1"/>
  <c r="G122" i="1"/>
  <c r="B122" i="1"/>
  <c r="D122" i="1" s="1"/>
  <c r="F122" i="1" s="1"/>
  <c r="G121" i="1"/>
  <c r="B121" i="1"/>
  <c r="G120" i="1"/>
  <c r="B120" i="1"/>
  <c r="C120" i="1" s="1"/>
  <c r="E120" i="1" s="1"/>
  <c r="G119" i="1"/>
  <c r="B119" i="1"/>
  <c r="D119" i="1" s="1"/>
  <c r="F119" i="1" s="1"/>
  <c r="G118" i="1"/>
  <c r="B118" i="1"/>
  <c r="D118" i="1" s="1"/>
  <c r="F118" i="1" s="1"/>
  <c r="G117" i="1"/>
  <c r="B117" i="1"/>
  <c r="D117" i="1" s="1"/>
  <c r="F117" i="1" s="1"/>
  <c r="G116" i="1"/>
  <c r="B116" i="1"/>
  <c r="C116" i="1" s="1"/>
  <c r="E116" i="1" s="1"/>
  <c r="G115" i="1"/>
  <c r="B115" i="1"/>
  <c r="D115" i="1" s="1"/>
  <c r="F115" i="1" s="1"/>
  <c r="G114" i="1"/>
  <c r="B114" i="1"/>
  <c r="C114" i="1" s="1"/>
  <c r="E114" i="1" s="1"/>
  <c r="G113" i="1"/>
  <c r="B113" i="1"/>
  <c r="C113" i="1" s="1"/>
  <c r="E113" i="1" s="1"/>
  <c r="G112" i="1"/>
  <c r="B112" i="1"/>
  <c r="C112" i="1" s="1"/>
  <c r="E112" i="1" s="1"/>
  <c r="G111" i="1"/>
  <c r="B111" i="1"/>
  <c r="D111" i="1" s="1"/>
  <c r="F111" i="1" s="1"/>
  <c r="G110" i="1"/>
  <c r="B110" i="1"/>
  <c r="D110" i="1" s="1"/>
  <c r="F110" i="1" s="1"/>
  <c r="G109" i="1"/>
  <c r="B109" i="1"/>
  <c r="C109" i="1" s="1"/>
  <c r="E109" i="1" s="1"/>
  <c r="G108" i="1"/>
  <c r="B108" i="1"/>
  <c r="C108" i="1" s="1"/>
  <c r="E108" i="1" s="1"/>
  <c r="G107" i="1"/>
  <c r="B107" i="1"/>
  <c r="D107" i="1" s="1"/>
  <c r="F107" i="1" s="1"/>
  <c r="G106" i="1"/>
  <c r="B106" i="1"/>
  <c r="D106" i="1" s="1"/>
  <c r="F106" i="1" s="1"/>
  <c r="G105" i="1"/>
  <c r="B105" i="1"/>
  <c r="C105" i="1" s="1"/>
  <c r="E105" i="1" s="1"/>
  <c r="G104" i="1"/>
  <c r="B104" i="1"/>
  <c r="C104" i="1" s="1"/>
  <c r="E104" i="1" s="1"/>
  <c r="G103" i="1"/>
  <c r="B103" i="1"/>
  <c r="D103" i="1" s="1"/>
  <c r="F103" i="1" s="1"/>
  <c r="G102" i="1"/>
  <c r="B102" i="1"/>
  <c r="D102" i="1" s="1"/>
  <c r="F102" i="1" s="1"/>
  <c r="G101" i="1"/>
  <c r="B101" i="1"/>
  <c r="D101" i="1" s="1"/>
  <c r="F101" i="1" s="1"/>
  <c r="G100" i="1"/>
  <c r="B100" i="1"/>
  <c r="C100" i="1" s="1"/>
  <c r="E100" i="1" s="1"/>
  <c r="G99" i="1"/>
  <c r="B99" i="1"/>
  <c r="D99" i="1" s="1"/>
  <c r="F99" i="1" s="1"/>
  <c r="G98" i="1"/>
  <c r="B98" i="1"/>
  <c r="D98" i="1" s="1"/>
  <c r="F98" i="1" s="1"/>
  <c r="G97" i="1"/>
  <c r="B97" i="1"/>
  <c r="D97" i="1" s="1"/>
  <c r="F97" i="1" s="1"/>
  <c r="G96" i="1"/>
  <c r="B96" i="1"/>
  <c r="G95" i="1"/>
  <c r="B95" i="1"/>
  <c r="D95" i="1" s="1"/>
  <c r="F95" i="1" s="1"/>
  <c r="G94" i="1"/>
  <c r="B94" i="1"/>
  <c r="D94" i="1" s="1"/>
  <c r="F94" i="1" s="1"/>
  <c r="G93" i="1"/>
  <c r="B93" i="1"/>
  <c r="C93" i="1" s="1"/>
  <c r="E93" i="1" s="1"/>
  <c r="G92" i="1"/>
  <c r="B92" i="1"/>
  <c r="C92" i="1" s="1"/>
  <c r="E92" i="1" s="1"/>
  <c r="G91" i="1"/>
  <c r="B91" i="1"/>
  <c r="D91" i="1" s="1"/>
  <c r="F91" i="1" s="1"/>
  <c r="G90" i="1"/>
  <c r="B90" i="1"/>
  <c r="D90" i="1" s="1"/>
  <c r="F90" i="1" s="1"/>
  <c r="G89" i="1"/>
  <c r="B89" i="1"/>
  <c r="D89" i="1" s="1"/>
  <c r="F89" i="1" s="1"/>
  <c r="G88" i="1"/>
  <c r="B88" i="1"/>
  <c r="C88" i="1" s="1"/>
  <c r="E88" i="1" s="1"/>
  <c r="G87" i="1"/>
  <c r="B87" i="1"/>
  <c r="D87" i="1" s="1"/>
  <c r="F87" i="1" s="1"/>
  <c r="G86" i="1"/>
  <c r="B86" i="1"/>
  <c r="D86" i="1" s="1"/>
  <c r="F86" i="1" s="1"/>
  <c r="G85" i="1"/>
  <c r="B85" i="1"/>
  <c r="C85" i="1" s="1"/>
  <c r="E85" i="1" s="1"/>
  <c r="G84" i="1"/>
  <c r="B84" i="1"/>
  <c r="C84" i="1" s="1"/>
  <c r="E84" i="1" s="1"/>
  <c r="G83" i="1"/>
  <c r="B83" i="1"/>
  <c r="D83" i="1" s="1"/>
  <c r="F83" i="1" s="1"/>
  <c r="G82" i="1"/>
  <c r="B82" i="1"/>
  <c r="D82" i="1" s="1"/>
  <c r="F82" i="1" s="1"/>
  <c r="G81" i="1"/>
  <c r="B81" i="1"/>
  <c r="D81" i="1" s="1"/>
  <c r="F81" i="1" s="1"/>
  <c r="G80" i="1"/>
  <c r="B80" i="1"/>
  <c r="G79" i="1"/>
  <c r="B79" i="1"/>
  <c r="D79" i="1" s="1"/>
  <c r="F79" i="1" s="1"/>
  <c r="G78" i="1"/>
  <c r="B78" i="1"/>
  <c r="G77" i="1"/>
  <c r="B77" i="1"/>
  <c r="C77" i="1" s="1"/>
  <c r="E77" i="1" s="1"/>
  <c r="G76" i="1"/>
  <c r="B76" i="1"/>
  <c r="C76" i="1" s="1"/>
  <c r="E76" i="1" s="1"/>
  <c r="G75" i="1"/>
  <c r="B75" i="1"/>
  <c r="D75" i="1" s="1"/>
  <c r="F75" i="1" s="1"/>
  <c r="G74" i="1"/>
  <c r="B74" i="1"/>
  <c r="G73" i="1"/>
  <c r="B73" i="1"/>
  <c r="C73" i="1" s="1"/>
  <c r="E73" i="1" s="1"/>
  <c r="G72" i="1"/>
  <c r="B72" i="1"/>
  <c r="C72" i="1" s="1"/>
  <c r="E72" i="1" s="1"/>
  <c r="G71" i="1"/>
  <c r="B71" i="1"/>
  <c r="D71" i="1" s="1"/>
  <c r="F71" i="1" s="1"/>
  <c r="G70" i="1"/>
  <c r="B70" i="1"/>
  <c r="G69" i="1"/>
  <c r="B69" i="1"/>
  <c r="C69" i="1" s="1"/>
  <c r="E69" i="1" s="1"/>
  <c r="G68" i="1"/>
  <c r="B68" i="1"/>
  <c r="C68" i="1" s="1"/>
  <c r="E68" i="1" s="1"/>
  <c r="G67" i="1"/>
  <c r="B67" i="1"/>
  <c r="D67" i="1" s="1"/>
  <c r="F67" i="1" s="1"/>
  <c r="G66" i="1"/>
  <c r="B66" i="1"/>
  <c r="G65" i="1"/>
  <c r="B65" i="1"/>
  <c r="C65" i="1" s="1"/>
  <c r="E65" i="1" s="1"/>
  <c r="G64" i="1"/>
  <c r="B64" i="1"/>
  <c r="C64" i="1" s="1"/>
  <c r="E64" i="1" s="1"/>
  <c r="G63" i="1"/>
  <c r="B63" i="1"/>
  <c r="D63" i="1" s="1"/>
  <c r="F63" i="1" s="1"/>
  <c r="G62" i="1"/>
  <c r="B62" i="1"/>
  <c r="G61" i="1"/>
  <c r="B61" i="1"/>
  <c r="C61" i="1" s="1"/>
  <c r="E61" i="1" s="1"/>
  <c r="G60" i="1"/>
  <c r="B60" i="1"/>
  <c r="C60" i="1" s="1"/>
  <c r="E60" i="1" s="1"/>
  <c r="G59" i="1"/>
  <c r="B59" i="1"/>
  <c r="D59" i="1" s="1"/>
  <c r="F59" i="1" s="1"/>
  <c r="G58" i="1"/>
  <c r="B58" i="1"/>
  <c r="G57" i="1"/>
  <c r="B57" i="1"/>
  <c r="C57" i="1" s="1"/>
  <c r="E57" i="1" s="1"/>
  <c r="G56" i="1"/>
  <c r="B56" i="1"/>
  <c r="C56" i="1" s="1"/>
  <c r="E56" i="1" s="1"/>
  <c r="G55" i="1"/>
  <c r="B55" i="1"/>
  <c r="D55" i="1" s="1"/>
  <c r="F55" i="1" s="1"/>
  <c r="G54" i="1"/>
  <c r="B54" i="1"/>
  <c r="G53" i="1"/>
  <c r="B53" i="1"/>
  <c r="C53" i="1" s="1"/>
  <c r="E53" i="1" s="1"/>
  <c r="G52" i="1"/>
  <c r="B52" i="1"/>
  <c r="C52" i="1" s="1"/>
  <c r="E52" i="1" s="1"/>
  <c r="G51" i="1"/>
  <c r="B51" i="1"/>
  <c r="D51" i="1" s="1"/>
  <c r="F51" i="1" s="1"/>
  <c r="G50" i="1"/>
  <c r="B50" i="1"/>
  <c r="G49" i="1"/>
  <c r="B49" i="1"/>
  <c r="C49" i="1" s="1"/>
  <c r="E49" i="1" s="1"/>
  <c r="G48" i="1"/>
  <c r="B48" i="1"/>
  <c r="C48" i="1" s="1"/>
  <c r="E48" i="1" s="1"/>
  <c r="G47" i="1"/>
  <c r="B47" i="1"/>
  <c r="D47" i="1" s="1"/>
  <c r="F47" i="1" s="1"/>
  <c r="G46" i="1"/>
  <c r="B46" i="1"/>
  <c r="G45" i="1"/>
  <c r="B45" i="1"/>
  <c r="C45" i="1" s="1"/>
  <c r="E45" i="1" s="1"/>
  <c r="G44" i="1"/>
  <c r="B44" i="1"/>
  <c r="C44" i="1" s="1"/>
  <c r="E44" i="1" s="1"/>
  <c r="G43" i="1"/>
  <c r="B43" i="1"/>
  <c r="D43" i="1" s="1"/>
  <c r="F43" i="1" s="1"/>
  <c r="G42" i="1"/>
  <c r="B42" i="1"/>
  <c r="G41" i="1"/>
  <c r="B41" i="1"/>
  <c r="C41" i="1" s="1"/>
  <c r="E41" i="1" s="1"/>
  <c r="G40" i="1"/>
  <c r="B40" i="1"/>
  <c r="C40" i="1" s="1"/>
  <c r="E40" i="1" s="1"/>
  <c r="G39" i="1"/>
  <c r="B39" i="1"/>
  <c r="D39" i="1" s="1"/>
  <c r="F39" i="1" s="1"/>
  <c r="G38" i="1"/>
  <c r="B38" i="1"/>
  <c r="G37" i="1"/>
  <c r="B37" i="1"/>
  <c r="C37" i="1" s="1"/>
  <c r="E37" i="1" s="1"/>
  <c r="G36" i="1"/>
  <c r="B36" i="1"/>
  <c r="C36" i="1" s="1"/>
  <c r="E36" i="1" s="1"/>
  <c r="G35" i="1"/>
  <c r="B35" i="1"/>
  <c r="D35" i="1" s="1"/>
  <c r="F35" i="1" s="1"/>
  <c r="G34" i="1"/>
  <c r="B34" i="1"/>
  <c r="G33" i="1"/>
  <c r="B33" i="1"/>
  <c r="D33" i="1" s="1"/>
  <c r="F33" i="1" s="1"/>
  <c r="G32" i="1"/>
  <c r="B32" i="1"/>
  <c r="C32" i="1" s="1"/>
  <c r="E32" i="1" s="1"/>
  <c r="G31" i="1"/>
  <c r="B31" i="1"/>
  <c r="D31" i="1" s="1"/>
  <c r="F31" i="1" s="1"/>
  <c r="G30" i="1"/>
  <c r="B30" i="1"/>
  <c r="G29" i="1"/>
  <c r="B29" i="1"/>
  <c r="D29" i="1" s="1"/>
  <c r="F29" i="1" s="1"/>
  <c r="G28" i="1"/>
  <c r="B28" i="1"/>
  <c r="C28" i="1" s="1"/>
  <c r="E28" i="1" s="1"/>
  <c r="G27" i="1"/>
  <c r="B27" i="1"/>
  <c r="D27" i="1" s="1"/>
  <c r="F27" i="1" s="1"/>
  <c r="G26" i="1"/>
  <c r="B26" i="1"/>
  <c r="G25" i="1"/>
  <c r="B25" i="1"/>
  <c r="D25" i="1" s="1"/>
  <c r="F25" i="1" s="1"/>
  <c r="G24" i="1"/>
  <c r="B24" i="1"/>
  <c r="C24" i="1" s="1"/>
  <c r="E24" i="1" s="1"/>
  <c r="G23" i="1"/>
  <c r="B23" i="1"/>
  <c r="D23" i="1" s="1"/>
  <c r="F23" i="1" s="1"/>
  <c r="G22" i="1"/>
  <c r="B22" i="1"/>
  <c r="G21" i="1"/>
  <c r="B21" i="1"/>
  <c r="D21" i="1" s="1"/>
  <c r="F21" i="1" s="1"/>
  <c r="G20" i="1"/>
  <c r="B20" i="1"/>
  <c r="C20" i="1" s="1"/>
  <c r="E20" i="1" s="1"/>
  <c r="G19" i="1"/>
  <c r="B19" i="1"/>
  <c r="D19" i="1" s="1"/>
  <c r="F19" i="1" s="1"/>
  <c r="G18" i="1"/>
  <c r="B18" i="1"/>
  <c r="G17" i="1"/>
  <c r="B17" i="1"/>
  <c r="D17" i="1" s="1"/>
  <c r="F17" i="1" s="1"/>
  <c r="G16" i="1"/>
  <c r="B16" i="1"/>
  <c r="C16" i="1" s="1"/>
  <c r="E16" i="1" s="1"/>
  <c r="G15" i="1"/>
  <c r="B15" i="1"/>
  <c r="D15" i="1" s="1"/>
  <c r="F15" i="1" s="1"/>
  <c r="G14" i="1"/>
  <c r="B14" i="1"/>
  <c r="G13" i="1"/>
  <c r="B13" i="1"/>
  <c r="D13" i="1" s="1"/>
  <c r="F13" i="1" s="1"/>
  <c r="G12" i="1"/>
  <c r="B12" i="1"/>
  <c r="C12" i="1" s="1"/>
  <c r="E12" i="1" s="1"/>
  <c r="G11" i="1"/>
  <c r="B11" i="1"/>
  <c r="D11" i="1" s="1"/>
  <c r="F11" i="1" s="1"/>
  <c r="G10" i="1"/>
  <c r="B10" i="1"/>
  <c r="G9" i="1"/>
  <c r="B9" i="1"/>
  <c r="D9" i="1" s="1"/>
  <c r="F9" i="1" s="1"/>
  <c r="G8" i="1"/>
  <c r="B8" i="1"/>
  <c r="C8" i="1" s="1"/>
  <c r="E8" i="1" s="1"/>
  <c r="G7" i="1"/>
  <c r="B7" i="1"/>
  <c r="D7" i="1" s="1"/>
  <c r="F7" i="1" s="1"/>
  <c r="G6" i="1"/>
  <c r="B6" i="1"/>
  <c r="G5" i="1"/>
  <c r="B5" i="1"/>
  <c r="D5" i="1" s="1"/>
  <c r="F5" i="1" s="1"/>
  <c r="D120" i="1" l="1"/>
  <c r="F120" i="1" s="1"/>
  <c r="D258" i="1"/>
  <c r="F258" i="1" s="1"/>
  <c r="D197" i="1"/>
  <c r="F197" i="1" s="1"/>
  <c r="D45" i="1"/>
  <c r="F45" i="1" s="1"/>
  <c r="C214" i="1"/>
  <c r="E214" i="1" s="1"/>
  <c r="D92" i="1"/>
  <c r="F92" i="1" s="1"/>
  <c r="D52" i="1"/>
  <c r="F52" i="1" s="1"/>
  <c r="D113" i="1"/>
  <c r="F113" i="1" s="1"/>
  <c r="D168" i="1"/>
  <c r="F168" i="1" s="1"/>
  <c r="D301" i="1"/>
  <c r="F301" i="1" s="1"/>
  <c r="D398" i="1"/>
  <c r="F398" i="1" s="1"/>
  <c r="D157" i="1"/>
  <c r="F157" i="1" s="1"/>
  <c r="D230" i="1"/>
  <c r="F230" i="1" s="1"/>
  <c r="D430" i="1"/>
  <c r="F430" i="1" s="1"/>
  <c r="D77" i="1"/>
  <c r="F77" i="1" s="1"/>
  <c r="C166" i="1"/>
  <c r="E166" i="1" s="1"/>
  <c r="D189" i="1"/>
  <c r="F189" i="1" s="1"/>
  <c r="D229" i="1"/>
  <c r="F229" i="1" s="1"/>
  <c r="C281" i="1"/>
  <c r="E281" i="1" s="1"/>
  <c r="D330" i="1"/>
  <c r="F330" i="1" s="1"/>
  <c r="D40" i="1"/>
  <c r="F40" i="1" s="1"/>
  <c r="D68" i="1"/>
  <c r="F68" i="1" s="1"/>
  <c r="C89" i="1"/>
  <c r="E89" i="1" s="1"/>
  <c r="D434" i="1"/>
  <c r="F434" i="1" s="1"/>
  <c r="D61" i="1"/>
  <c r="F61" i="1" s="1"/>
  <c r="C118" i="1"/>
  <c r="E118" i="1" s="1"/>
  <c r="C141" i="1"/>
  <c r="E141" i="1" s="1"/>
  <c r="D216" i="1"/>
  <c r="F216" i="1" s="1"/>
  <c r="D248" i="1"/>
  <c r="F248" i="1" s="1"/>
  <c r="C269" i="1"/>
  <c r="E269" i="1" s="1"/>
  <c r="C313" i="1"/>
  <c r="E313" i="1" s="1"/>
  <c r="C314" i="1"/>
  <c r="E314" i="1" s="1"/>
  <c r="C315" i="1"/>
  <c r="E315" i="1" s="1"/>
  <c r="D316" i="1"/>
  <c r="F316" i="1" s="1"/>
  <c r="D333" i="1"/>
  <c r="F333" i="1" s="1"/>
  <c r="D384" i="1"/>
  <c r="F384" i="1" s="1"/>
  <c r="C5" i="1"/>
  <c r="E5" i="1" s="1"/>
  <c r="C13" i="1"/>
  <c r="E13" i="1" s="1"/>
  <c r="C21" i="1"/>
  <c r="E21" i="1" s="1"/>
  <c r="C29" i="1"/>
  <c r="E29" i="1" s="1"/>
  <c r="D37" i="1"/>
  <c r="F37" i="1" s="1"/>
  <c r="C101" i="1"/>
  <c r="E101" i="1" s="1"/>
  <c r="C102" i="1"/>
  <c r="E102" i="1" s="1"/>
  <c r="C103" i="1"/>
  <c r="E103" i="1" s="1"/>
  <c r="D104" i="1"/>
  <c r="F104" i="1" s="1"/>
  <c r="C117" i="1"/>
  <c r="E117" i="1" s="1"/>
  <c r="C149" i="1"/>
  <c r="E149" i="1" s="1"/>
  <c r="C150" i="1"/>
  <c r="E150" i="1" s="1"/>
  <c r="C151" i="1"/>
  <c r="E151" i="1" s="1"/>
  <c r="D152" i="1"/>
  <c r="F152" i="1" s="1"/>
  <c r="C165" i="1"/>
  <c r="E165" i="1" s="1"/>
  <c r="C181" i="1"/>
  <c r="E181" i="1" s="1"/>
  <c r="C182" i="1"/>
  <c r="E182" i="1" s="1"/>
  <c r="C183" i="1"/>
  <c r="E183" i="1" s="1"/>
  <c r="D184" i="1"/>
  <c r="F184" i="1" s="1"/>
  <c r="D198" i="1"/>
  <c r="F198" i="1" s="1"/>
  <c r="C205" i="1"/>
  <c r="E205" i="1" s="1"/>
  <c r="C215" i="1"/>
  <c r="E215" i="1" s="1"/>
  <c r="C247" i="1"/>
  <c r="E247" i="1" s="1"/>
  <c r="D284" i="1"/>
  <c r="F284" i="1" s="1"/>
  <c r="D324" i="1"/>
  <c r="F324" i="1" s="1"/>
  <c r="D329" i="1"/>
  <c r="F329" i="1" s="1"/>
  <c r="D341" i="1"/>
  <c r="F341" i="1" s="1"/>
  <c r="D357" i="1"/>
  <c r="F357" i="1" s="1"/>
  <c r="D402" i="1"/>
  <c r="F402" i="1" s="1"/>
  <c r="D237" i="1"/>
  <c r="F237" i="1" s="1"/>
  <c r="C246" i="1"/>
  <c r="E246" i="1" s="1"/>
  <c r="C283" i="1"/>
  <c r="E283" i="1" s="1"/>
  <c r="D292" i="1"/>
  <c r="F292" i="1" s="1"/>
  <c r="D326" i="1"/>
  <c r="F326" i="1" s="1"/>
  <c r="D345" i="1"/>
  <c r="F345" i="1" s="1"/>
  <c r="D373" i="1"/>
  <c r="F373" i="1" s="1"/>
  <c r="D392" i="1"/>
  <c r="F392" i="1" s="1"/>
  <c r="D406" i="1"/>
  <c r="F406" i="1" s="1"/>
  <c r="D438" i="1"/>
  <c r="F438" i="1" s="1"/>
  <c r="C9" i="1"/>
  <c r="E9" i="1" s="1"/>
  <c r="C17" i="1"/>
  <c r="E17" i="1" s="1"/>
  <c r="C25" i="1"/>
  <c r="E25" i="1" s="1"/>
  <c r="C33" i="1"/>
  <c r="E33" i="1" s="1"/>
  <c r="D48" i="1"/>
  <c r="F48" i="1" s="1"/>
  <c r="D57" i="1"/>
  <c r="F57" i="1" s="1"/>
  <c r="D64" i="1"/>
  <c r="F64" i="1" s="1"/>
  <c r="D73" i="1"/>
  <c r="F73" i="1" s="1"/>
  <c r="D84" i="1"/>
  <c r="F84" i="1" s="1"/>
  <c r="C119" i="1"/>
  <c r="E119" i="1" s="1"/>
  <c r="D130" i="1"/>
  <c r="F130" i="1" s="1"/>
  <c r="C167" i="1"/>
  <c r="E167" i="1" s="1"/>
  <c r="D194" i="1"/>
  <c r="F194" i="1" s="1"/>
  <c r="C213" i="1"/>
  <c r="E213" i="1" s="1"/>
  <c r="C231" i="1"/>
  <c r="E231" i="1" s="1"/>
  <c r="D232" i="1"/>
  <c r="F232" i="1" s="1"/>
  <c r="C245" i="1"/>
  <c r="E245" i="1" s="1"/>
  <c r="D277" i="1"/>
  <c r="F277" i="1" s="1"/>
  <c r="C282" i="1"/>
  <c r="E282" i="1" s="1"/>
  <c r="D294" i="1"/>
  <c r="F294" i="1" s="1"/>
  <c r="D309" i="1"/>
  <c r="F309" i="1" s="1"/>
  <c r="D349" i="1"/>
  <c r="F349" i="1" s="1"/>
  <c r="D394" i="1"/>
  <c r="F394" i="1" s="1"/>
  <c r="D426" i="1"/>
  <c r="F426" i="1" s="1"/>
  <c r="D41" i="1"/>
  <c r="F41" i="1" s="1"/>
  <c r="D44" i="1"/>
  <c r="F44" i="1" s="1"/>
  <c r="D60" i="1"/>
  <c r="F60" i="1" s="1"/>
  <c r="D76" i="1"/>
  <c r="F76" i="1" s="1"/>
  <c r="C81" i="1"/>
  <c r="E81" i="1" s="1"/>
  <c r="C125" i="1"/>
  <c r="E125" i="1" s="1"/>
  <c r="C133" i="1"/>
  <c r="E133" i="1" s="1"/>
  <c r="C134" i="1"/>
  <c r="E134" i="1" s="1"/>
  <c r="C135" i="1"/>
  <c r="E135" i="1" s="1"/>
  <c r="D136" i="1"/>
  <c r="F136" i="1" s="1"/>
  <c r="D146" i="1"/>
  <c r="F146" i="1" s="1"/>
  <c r="C173" i="1"/>
  <c r="E173" i="1" s="1"/>
  <c r="D178" i="1"/>
  <c r="F178" i="1" s="1"/>
  <c r="C221" i="1"/>
  <c r="E221" i="1" s="1"/>
  <c r="D226" i="1"/>
  <c r="F226" i="1" s="1"/>
  <c r="C253" i="1"/>
  <c r="E253" i="1" s="1"/>
  <c r="C261" i="1"/>
  <c r="E261" i="1" s="1"/>
  <c r="C262" i="1"/>
  <c r="E262" i="1" s="1"/>
  <c r="C263" i="1"/>
  <c r="E263" i="1" s="1"/>
  <c r="D264" i="1"/>
  <c r="F264" i="1" s="1"/>
  <c r="D276" i="1"/>
  <c r="F276" i="1" s="1"/>
  <c r="D285" i="1"/>
  <c r="F285" i="1" s="1"/>
  <c r="C297" i="1"/>
  <c r="E297" i="1" s="1"/>
  <c r="C298" i="1"/>
  <c r="E298" i="1" s="1"/>
  <c r="C299" i="1"/>
  <c r="E299" i="1" s="1"/>
  <c r="D300" i="1"/>
  <c r="F300" i="1" s="1"/>
  <c r="D310" i="1"/>
  <c r="F310" i="1" s="1"/>
  <c r="D325" i="1"/>
  <c r="F325" i="1" s="1"/>
  <c r="D340" i="1"/>
  <c r="F340" i="1" s="1"/>
  <c r="D346" i="1"/>
  <c r="F346" i="1" s="1"/>
  <c r="C365" i="1"/>
  <c r="E365" i="1" s="1"/>
  <c r="D393" i="1"/>
  <c r="F393" i="1" s="1"/>
  <c r="D401" i="1"/>
  <c r="F401" i="1" s="1"/>
  <c r="C409" i="1"/>
  <c r="E409" i="1" s="1"/>
  <c r="D429" i="1"/>
  <c r="F429" i="1" s="1"/>
  <c r="D437" i="1"/>
  <c r="F437" i="1" s="1"/>
  <c r="D8" i="1"/>
  <c r="F8" i="1" s="1"/>
  <c r="D12" i="1"/>
  <c r="F12" i="1" s="1"/>
  <c r="D16" i="1"/>
  <c r="F16" i="1" s="1"/>
  <c r="D20" i="1"/>
  <c r="F20" i="1" s="1"/>
  <c r="D24" i="1"/>
  <c r="F24" i="1" s="1"/>
  <c r="D28" i="1"/>
  <c r="F28" i="1" s="1"/>
  <c r="D32" i="1"/>
  <c r="F32" i="1" s="1"/>
  <c r="D36" i="1"/>
  <c r="F36" i="1" s="1"/>
  <c r="D56" i="1"/>
  <c r="F56" i="1" s="1"/>
  <c r="D72" i="1"/>
  <c r="F72" i="1" s="1"/>
  <c r="D85" i="1"/>
  <c r="F85" i="1" s="1"/>
  <c r="D93" i="1"/>
  <c r="F93" i="1" s="1"/>
  <c r="D109" i="1"/>
  <c r="F109" i="1" s="1"/>
  <c r="D114" i="1"/>
  <c r="F114" i="1" s="1"/>
  <c r="D162" i="1"/>
  <c r="F162" i="1" s="1"/>
  <c r="C199" i="1"/>
  <c r="E199" i="1" s="1"/>
  <c r="D200" i="1"/>
  <c r="F200" i="1" s="1"/>
  <c r="D210" i="1"/>
  <c r="F210" i="1" s="1"/>
  <c r="D242" i="1"/>
  <c r="F242" i="1" s="1"/>
  <c r="D278" i="1"/>
  <c r="F278" i="1" s="1"/>
  <c r="D293" i="1"/>
  <c r="F293" i="1" s="1"/>
  <c r="D308" i="1"/>
  <c r="F308" i="1" s="1"/>
  <c r="D317" i="1"/>
  <c r="F317" i="1" s="1"/>
  <c r="C331" i="1"/>
  <c r="E331" i="1" s="1"/>
  <c r="D332" i="1"/>
  <c r="F332" i="1" s="1"/>
  <c r="D344" i="1"/>
  <c r="F344" i="1" s="1"/>
  <c r="D350" i="1"/>
  <c r="F350" i="1" s="1"/>
  <c r="C374" i="1"/>
  <c r="E374" i="1" s="1"/>
  <c r="D389" i="1"/>
  <c r="F389" i="1" s="1"/>
  <c r="D397" i="1"/>
  <c r="F397" i="1" s="1"/>
  <c r="D405" i="1"/>
  <c r="F405" i="1" s="1"/>
  <c r="D433" i="1"/>
  <c r="F433" i="1" s="1"/>
  <c r="D323" i="1"/>
  <c r="F323" i="1" s="1"/>
  <c r="C323" i="1"/>
  <c r="E323" i="1" s="1"/>
  <c r="D391" i="1"/>
  <c r="F391" i="1" s="1"/>
  <c r="C391" i="1"/>
  <c r="E391" i="1" s="1"/>
  <c r="D53" i="1"/>
  <c r="F53" i="1" s="1"/>
  <c r="D69" i="1"/>
  <c r="F69" i="1" s="1"/>
  <c r="C80" i="1"/>
  <c r="E80" i="1" s="1"/>
  <c r="D80" i="1"/>
  <c r="F80" i="1" s="1"/>
  <c r="C97" i="1"/>
  <c r="E97" i="1" s="1"/>
  <c r="D105" i="1"/>
  <c r="F105" i="1" s="1"/>
  <c r="D121" i="1"/>
  <c r="F121" i="1" s="1"/>
  <c r="C121" i="1"/>
  <c r="E121" i="1" s="1"/>
  <c r="D307" i="1"/>
  <c r="F307" i="1" s="1"/>
  <c r="C307" i="1"/>
  <c r="E307" i="1" s="1"/>
  <c r="D361" i="1"/>
  <c r="F361" i="1" s="1"/>
  <c r="C361" i="1"/>
  <c r="E361" i="1" s="1"/>
  <c r="D366" i="1"/>
  <c r="F366" i="1" s="1"/>
  <c r="C366" i="1"/>
  <c r="E366" i="1" s="1"/>
  <c r="C368" i="1"/>
  <c r="E368" i="1" s="1"/>
  <c r="D368" i="1"/>
  <c r="F368" i="1" s="1"/>
  <c r="D370" i="1"/>
  <c r="F370" i="1" s="1"/>
  <c r="C370" i="1"/>
  <c r="E370" i="1" s="1"/>
  <c r="C372" i="1"/>
  <c r="E372" i="1" s="1"/>
  <c r="D372" i="1"/>
  <c r="F372" i="1" s="1"/>
  <c r="D410" i="1"/>
  <c r="F410" i="1" s="1"/>
  <c r="C410" i="1"/>
  <c r="E410" i="1" s="1"/>
  <c r="D414" i="1"/>
  <c r="F414" i="1" s="1"/>
  <c r="C414" i="1"/>
  <c r="E414" i="1" s="1"/>
  <c r="D418" i="1"/>
  <c r="F418" i="1" s="1"/>
  <c r="C418" i="1"/>
  <c r="E418" i="1" s="1"/>
  <c r="D422" i="1"/>
  <c r="F422" i="1" s="1"/>
  <c r="C422" i="1"/>
  <c r="E422" i="1" s="1"/>
  <c r="D445" i="1"/>
  <c r="F445" i="1" s="1"/>
  <c r="C445" i="1"/>
  <c r="E445" i="1" s="1"/>
  <c r="D449" i="1"/>
  <c r="F449" i="1" s="1"/>
  <c r="C449" i="1"/>
  <c r="E449" i="1" s="1"/>
  <c r="D49" i="1"/>
  <c r="F49" i="1" s="1"/>
  <c r="D65" i="1"/>
  <c r="F65" i="1" s="1"/>
  <c r="D88" i="1"/>
  <c r="F88" i="1" s="1"/>
  <c r="C96" i="1"/>
  <c r="E96" i="1" s="1"/>
  <c r="D96" i="1"/>
  <c r="F96" i="1" s="1"/>
  <c r="D291" i="1"/>
  <c r="F291" i="1" s="1"/>
  <c r="C291" i="1"/>
  <c r="E291" i="1" s="1"/>
  <c r="D377" i="1"/>
  <c r="F377" i="1" s="1"/>
  <c r="C377" i="1"/>
  <c r="E377" i="1" s="1"/>
  <c r="D275" i="1"/>
  <c r="F275" i="1" s="1"/>
  <c r="C275" i="1"/>
  <c r="E275" i="1" s="1"/>
  <c r="D339" i="1"/>
  <c r="F339" i="1" s="1"/>
  <c r="C339" i="1"/>
  <c r="E339" i="1" s="1"/>
  <c r="D367" i="1"/>
  <c r="F367" i="1" s="1"/>
  <c r="C367" i="1"/>
  <c r="E367" i="1" s="1"/>
  <c r="D369" i="1"/>
  <c r="F369" i="1" s="1"/>
  <c r="C369" i="1"/>
  <c r="E369" i="1" s="1"/>
  <c r="D371" i="1"/>
  <c r="F371" i="1" s="1"/>
  <c r="C371" i="1"/>
  <c r="E371" i="1" s="1"/>
  <c r="D385" i="1"/>
  <c r="F385" i="1" s="1"/>
  <c r="C385" i="1"/>
  <c r="E385" i="1" s="1"/>
  <c r="D413" i="1"/>
  <c r="F413" i="1" s="1"/>
  <c r="C413" i="1"/>
  <c r="E413" i="1" s="1"/>
  <c r="D417" i="1"/>
  <c r="F417" i="1" s="1"/>
  <c r="C417" i="1"/>
  <c r="E417" i="1" s="1"/>
  <c r="D421" i="1"/>
  <c r="F421" i="1" s="1"/>
  <c r="C421" i="1"/>
  <c r="E421" i="1" s="1"/>
  <c r="D423" i="1"/>
  <c r="F423" i="1" s="1"/>
  <c r="C423" i="1"/>
  <c r="E423" i="1" s="1"/>
  <c r="D442" i="1"/>
  <c r="F442" i="1" s="1"/>
  <c r="C442" i="1"/>
  <c r="E442" i="1" s="1"/>
  <c r="D446" i="1"/>
  <c r="F446" i="1" s="1"/>
  <c r="C446" i="1"/>
  <c r="E446" i="1" s="1"/>
  <c r="D450" i="1"/>
  <c r="F450" i="1" s="1"/>
  <c r="C450" i="1"/>
  <c r="E450" i="1" s="1"/>
  <c r="C129" i="1"/>
  <c r="E129" i="1" s="1"/>
  <c r="C137" i="1"/>
  <c r="E137" i="1" s="1"/>
  <c r="C145" i="1"/>
  <c r="E145" i="1" s="1"/>
  <c r="C153" i="1"/>
  <c r="E153" i="1" s="1"/>
  <c r="C161" i="1"/>
  <c r="E161" i="1" s="1"/>
  <c r="C169" i="1"/>
  <c r="E169" i="1" s="1"/>
  <c r="C177" i="1"/>
  <c r="E177" i="1" s="1"/>
  <c r="C185" i="1"/>
  <c r="E185" i="1" s="1"/>
  <c r="C193" i="1"/>
  <c r="E193" i="1" s="1"/>
  <c r="C201" i="1"/>
  <c r="E201" i="1" s="1"/>
  <c r="C209" i="1"/>
  <c r="E209" i="1" s="1"/>
  <c r="C217" i="1"/>
  <c r="E217" i="1" s="1"/>
  <c r="C225" i="1"/>
  <c r="E225" i="1" s="1"/>
  <c r="C233" i="1"/>
  <c r="E233" i="1" s="1"/>
  <c r="C241" i="1"/>
  <c r="E241" i="1" s="1"/>
  <c r="C249" i="1"/>
  <c r="E249" i="1" s="1"/>
  <c r="C257" i="1"/>
  <c r="E257" i="1" s="1"/>
  <c r="C265" i="1"/>
  <c r="E265" i="1" s="1"/>
  <c r="C273" i="1"/>
  <c r="E273" i="1" s="1"/>
  <c r="C289" i="1"/>
  <c r="E289" i="1" s="1"/>
  <c r="C290" i="1"/>
  <c r="E290" i="1" s="1"/>
  <c r="C305" i="1"/>
  <c r="E305" i="1" s="1"/>
  <c r="C306" i="1"/>
  <c r="E306" i="1" s="1"/>
  <c r="C321" i="1"/>
  <c r="E321" i="1" s="1"/>
  <c r="C322" i="1"/>
  <c r="E322" i="1" s="1"/>
  <c r="C337" i="1"/>
  <c r="E337" i="1" s="1"/>
  <c r="C338" i="1"/>
  <c r="E338" i="1" s="1"/>
  <c r="C353" i="1"/>
  <c r="E353" i="1" s="1"/>
  <c r="D376" i="1"/>
  <c r="F376" i="1" s="1"/>
  <c r="D378" i="1"/>
  <c r="F378" i="1" s="1"/>
  <c r="C381" i="1"/>
  <c r="E381" i="1" s="1"/>
  <c r="C382" i="1"/>
  <c r="E382" i="1" s="1"/>
  <c r="C383" i="1"/>
  <c r="E383" i="1" s="1"/>
  <c r="C425" i="1"/>
  <c r="E425" i="1" s="1"/>
  <c r="C342" i="1"/>
  <c r="E342" i="1" s="1"/>
  <c r="C351" i="1"/>
  <c r="E351" i="1" s="1"/>
  <c r="D352" i="1"/>
  <c r="F352" i="1" s="1"/>
  <c r="D354" i="1"/>
  <c r="F354" i="1" s="1"/>
  <c r="C375" i="1"/>
  <c r="E375" i="1" s="1"/>
  <c r="C407" i="1"/>
  <c r="E407" i="1" s="1"/>
  <c r="C439" i="1"/>
  <c r="E439" i="1" s="1"/>
  <c r="D6" i="1"/>
  <c r="F6" i="1" s="1"/>
  <c r="C6" i="1"/>
  <c r="E6" i="1" s="1"/>
  <c r="D10" i="1"/>
  <c r="F10" i="1" s="1"/>
  <c r="C10" i="1"/>
  <c r="E10" i="1" s="1"/>
  <c r="D14" i="1"/>
  <c r="F14" i="1" s="1"/>
  <c r="C14" i="1"/>
  <c r="E14" i="1" s="1"/>
  <c r="D18" i="1"/>
  <c r="F18" i="1" s="1"/>
  <c r="C18" i="1"/>
  <c r="E18" i="1" s="1"/>
  <c r="D22" i="1"/>
  <c r="F22" i="1" s="1"/>
  <c r="C22" i="1"/>
  <c r="E22" i="1" s="1"/>
  <c r="D26" i="1"/>
  <c r="F26" i="1" s="1"/>
  <c r="C26" i="1"/>
  <c r="E26" i="1" s="1"/>
  <c r="D30" i="1"/>
  <c r="F30" i="1" s="1"/>
  <c r="C30" i="1"/>
  <c r="E30" i="1" s="1"/>
  <c r="D34" i="1"/>
  <c r="F34" i="1" s="1"/>
  <c r="C34" i="1"/>
  <c r="E34" i="1" s="1"/>
  <c r="D38" i="1"/>
  <c r="F38" i="1" s="1"/>
  <c r="C38" i="1"/>
  <c r="E38" i="1" s="1"/>
  <c r="D42" i="1"/>
  <c r="F42" i="1" s="1"/>
  <c r="C42" i="1"/>
  <c r="E42" i="1" s="1"/>
  <c r="D46" i="1"/>
  <c r="F46" i="1" s="1"/>
  <c r="C46" i="1"/>
  <c r="E46" i="1" s="1"/>
  <c r="D50" i="1"/>
  <c r="F50" i="1" s="1"/>
  <c r="C50" i="1"/>
  <c r="E50" i="1" s="1"/>
  <c r="D54" i="1"/>
  <c r="F54" i="1" s="1"/>
  <c r="C54" i="1"/>
  <c r="E54" i="1" s="1"/>
  <c r="D58" i="1"/>
  <c r="F58" i="1" s="1"/>
  <c r="C58" i="1"/>
  <c r="E58" i="1" s="1"/>
  <c r="D62" i="1"/>
  <c r="F62" i="1" s="1"/>
  <c r="C62" i="1"/>
  <c r="E62" i="1" s="1"/>
  <c r="D66" i="1"/>
  <c r="F66" i="1" s="1"/>
  <c r="C66" i="1"/>
  <c r="E66" i="1" s="1"/>
  <c r="D70" i="1"/>
  <c r="F70" i="1" s="1"/>
  <c r="C70" i="1"/>
  <c r="E70" i="1" s="1"/>
  <c r="D74" i="1"/>
  <c r="F74" i="1" s="1"/>
  <c r="C74" i="1"/>
  <c r="E74" i="1" s="1"/>
  <c r="D78" i="1"/>
  <c r="F78" i="1" s="1"/>
  <c r="C78" i="1"/>
  <c r="E78" i="1" s="1"/>
  <c r="C98" i="1"/>
  <c r="E98" i="1" s="1"/>
  <c r="C106" i="1"/>
  <c r="E106" i="1" s="1"/>
  <c r="C107" i="1"/>
  <c r="E107" i="1" s="1"/>
  <c r="D108" i="1"/>
  <c r="F108" i="1" s="1"/>
  <c r="C122" i="1"/>
  <c r="E122" i="1" s="1"/>
  <c r="C123" i="1"/>
  <c r="E123" i="1" s="1"/>
  <c r="D124" i="1"/>
  <c r="F124" i="1" s="1"/>
  <c r="C138" i="1"/>
  <c r="E138" i="1" s="1"/>
  <c r="C139" i="1"/>
  <c r="E139" i="1" s="1"/>
  <c r="D140" i="1"/>
  <c r="F140" i="1" s="1"/>
  <c r="C154" i="1"/>
  <c r="E154" i="1" s="1"/>
  <c r="C155" i="1"/>
  <c r="E155" i="1" s="1"/>
  <c r="D156" i="1"/>
  <c r="F156" i="1" s="1"/>
  <c r="C170" i="1"/>
  <c r="E170" i="1" s="1"/>
  <c r="C171" i="1"/>
  <c r="E171" i="1" s="1"/>
  <c r="D172" i="1"/>
  <c r="F172" i="1" s="1"/>
  <c r="C186" i="1"/>
  <c r="E186" i="1" s="1"/>
  <c r="C187" i="1"/>
  <c r="E187" i="1" s="1"/>
  <c r="D188" i="1"/>
  <c r="F188" i="1" s="1"/>
  <c r="C202" i="1"/>
  <c r="E202" i="1" s="1"/>
  <c r="C203" i="1"/>
  <c r="E203" i="1" s="1"/>
  <c r="D204" i="1"/>
  <c r="F204" i="1" s="1"/>
  <c r="C218" i="1"/>
  <c r="E218" i="1" s="1"/>
  <c r="C219" i="1"/>
  <c r="E219" i="1" s="1"/>
  <c r="D220" i="1"/>
  <c r="F220" i="1" s="1"/>
  <c r="C234" i="1"/>
  <c r="E234" i="1" s="1"/>
  <c r="C235" i="1"/>
  <c r="E235" i="1" s="1"/>
  <c r="D236" i="1"/>
  <c r="F236" i="1" s="1"/>
  <c r="C250" i="1"/>
  <c r="E250" i="1" s="1"/>
  <c r="C251" i="1"/>
  <c r="E251" i="1" s="1"/>
  <c r="D252" i="1"/>
  <c r="F252" i="1" s="1"/>
  <c r="C266" i="1"/>
  <c r="E266" i="1" s="1"/>
  <c r="C267" i="1"/>
  <c r="E267" i="1" s="1"/>
  <c r="D268" i="1"/>
  <c r="F268" i="1" s="1"/>
  <c r="D302" i="1"/>
  <c r="F302" i="1" s="1"/>
  <c r="C302" i="1"/>
  <c r="E302" i="1" s="1"/>
  <c r="C304" i="1"/>
  <c r="E304" i="1" s="1"/>
  <c r="D304" i="1"/>
  <c r="F304" i="1" s="1"/>
  <c r="D335" i="1"/>
  <c r="F335" i="1" s="1"/>
  <c r="C335" i="1"/>
  <c r="E335" i="1" s="1"/>
  <c r="D343" i="1"/>
  <c r="F343" i="1" s="1"/>
  <c r="C343" i="1"/>
  <c r="E343" i="1" s="1"/>
  <c r="D416" i="1"/>
  <c r="F416" i="1" s="1"/>
  <c r="C416" i="1"/>
  <c r="E416" i="1" s="1"/>
  <c r="C288" i="1"/>
  <c r="E288" i="1" s="1"/>
  <c r="D288" i="1"/>
  <c r="F288" i="1" s="1"/>
  <c r="D319" i="1"/>
  <c r="F319" i="1" s="1"/>
  <c r="C319" i="1"/>
  <c r="E319" i="1" s="1"/>
  <c r="C51" i="1"/>
  <c r="E51" i="1" s="1"/>
  <c r="C91" i="1"/>
  <c r="E91" i="1" s="1"/>
  <c r="C99" i="1"/>
  <c r="E99" i="1" s="1"/>
  <c r="D112" i="1"/>
  <c r="F112" i="1" s="1"/>
  <c r="C127" i="1"/>
  <c r="E127" i="1" s="1"/>
  <c r="D128" i="1"/>
  <c r="F128" i="1" s="1"/>
  <c r="C142" i="1"/>
  <c r="E142" i="1" s="1"/>
  <c r="C143" i="1"/>
  <c r="E143" i="1" s="1"/>
  <c r="D144" i="1"/>
  <c r="F144" i="1" s="1"/>
  <c r="C158" i="1"/>
  <c r="E158" i="1" s="1"/>
  <c r="C159" i="1"/>
  <c r="E159" i="1" s="1"/>
  <c r="D160" i="1"/>
  <c r="F160" i="1" s="1"/>
  <c r="C174" i="1"/>
  <c r="E174" i="1" s="1"/>
  <c r="C175" i="1"/>
  <c r="E175" i="1" s="1"/>
  <c r="D176" i="1"/>
  <c r="F176" i="1" s="1"/>
  <c r="C190" i="1"/>
  <c r="E190" i="1" s="1"/>
  <c r="C191" i="1"/>
  <c r="E191" i="1" s="1"/>
  <c r="D192" i="1"/>
  <c r="F192" i="1" s="1"/>
  <c r="C206" i="1"/>
  <c r="E206" i="1" s="1"/>
  <c r="C207" i="1"/>
  <c r="E207" i="1" s="1"/>
  <c r="D208" i="1"/>
  <c r="F208" i="1" s="1"/>
  <c r="C222" i="1"/>
  <c r="E222" i="1" s="1"/>
  <c r="C223" i="1"/>
  <c r="E223" i="1" s="1"/>
  <c r="D224" i="1"/>
  <c r="F224" i="1" s="1"/>
  <c r="C238" i="1"/>
  <c r="E238" i="1" s="1"/>
  <c r="C239" i="1"/>
  <c r="E239" i="1" s="1"/>
  <c r="D240" i="1"/>
  <c r="F240" i="1" s="1"/>
  <c r="C254" i="1"/>
  <c r="E254" i="1" s="1"/>
  <c r="C255" i="1"/>
  <c r="E255" i="1" s="1"/>
  <c r="D256" i="1"/>
  <c r="F256" i="1" s="1"/>
  <c r="C270" i="1"/>
  <c r="E270" i="1" s="1"/>
  <c r="C271" i="1"/>
  <c r="E271" i="1" s="1"/>
  <c r="D272" i="1"/>
  <c r="F272" i="1" s="1"/>
  <c r="D274" i="1"/>
  <c r="F274" i="1" s="1"/>
  <c r="D287" i="1"/>
  <c r="F287" i="1" s="1"/>
  <c r="C287" i="1"/>
  <c r="E287" i="1" s="1"/>
  <c r="D318" i="1"/>
  <c r="F318" i="1" s="1"/>
  <c r="C318" i="1"/>
  <c r="E318" i="1" s="1"/>
  <c r="C320" i="1"/>
  <c r="E320" i="1" s="1"/>
  <c r="D320" i="1"/>
  <c r="F320" i="1" s="1"/>
  <c r="C362" i="1"/>
  <c r="E362" i="1" s="1"/>
  <c r="D362" i="1"/>
  <c r="F362" i="1" s="1"/>
  <c r="D286" i="1"/>
  <c r="F286" i="1" s="1"/>
  <c r="C286" i="1"/>
  <c r="E286" i="1" s="1"/>
  <c r="C82" i="1"/>
  <c r="E82" i="1" s="1"/>
  <c r="C86" i="1"/>
  <c r="E86" i="1" s="1"/>
  <c r="C90" i="1"/>
  <c r="E90" i="1" s="1"/>
  <c r="C94" i="1"/>
  <c r="E94" i="1" s="1"/>
  <c r="C7" i="1"/>
  <c r="E7" i="1" s="1"/>
  <c r="C11" i="1"/>
  <c r="E11" i="1" s="1"/>
  <c r="C15" i="1"/>
  <c r="E15" i="1" s="1"/>
  <c r="C19" i="1"/>
  <c r="E19" i="1" s="1"/>
  <c r="C23" i="1"/>
  <c r="E23" i="1" s="1"/>
  <c r="C27" i="1"/>
  <c r="E27" i="1" s="1"/>
  <c r="C31" i="1"/>
  <c r="E31" i="1" s="1"/>
  <c r="C35" i="1"/>
  <c r="E35" i="1" s="1"/>
  <c r="C39" i="1"/>
  <c r="E39" i="1" s="1"/>
  <c r="C43" i="1"/>
  <c r="E43" i="1" s="1"/>
  <c r="C47" i="1"/>
  <c r="E47" i="1" s="1"/>
  <c r="C55" i="1"/>
  <c r="E55" i="1" s="1"/>
  <c r="C59" i="1"/>
  <c r="E59" i="1" s="1"/>
  <c r="C63" i="1"/>
  <c r="E63" i="1" s="1"/>
  <c r="C67" i="1"/>
  <c r="E67" i="1" s="1"/>
  <c r="C71" i="1"/>
  <c r="E71" i="1" s="1"/>
  <c r="C75" i="1"/>
  <c r="E75" i="1" s="1"/>
  <c r="C79" i="1"/>
  <c r="E79" i="1" s="1"/>
  <c r="C83" i="1"/>
  <c r="E83" i="1" s="1"/>
  <c r="C87" i="1"/>
  <c r="E87" i="1" s="1"/>
  <c r="C95" i="1"/>
  <c r="E95" i="1" s="1"/>
  <c r="C110" i="1"/>
  <c r="E110" i="1" s="1"/>
  <c r="C111" i="1"/>
  <c r="E111" i="1" s="1"/>
  <c r="C126" i="1"/>
  <c r="E126" i="1" s="1"/>
  <c r="D100" i="1"/>
  <c r="F100" i="1" s="1"/>
  <c r="C115" i="1"/>
  <c r="E115" i="1" s="1"/>
  <c r="D116" i="1"/>
  <c r="F116" i="1" s="1"/>
  <c r="C131" i="1"/>
  <c r="E131" i="1" s="1"/>
  <c r="D132" i="1"/>
  <c r="F132" i="1" s="1"/>
  <c r="C147" i="1"/>
  <c r="E147" i="1" s="1"/>
  <c r="D148" i="1"/>
  <c r="F148" i="1" s="1"/>
  <c r="C163" i="1"/>
  <c r="E163" i="1" s="1"/>
  <c r="D164" i="1"/>
  <c r="F164" i="1" s="1"/>
  <c r="C179" i="1"/>
  <c r="E179" i="1" s="1"/>
  <c r="D180" i="1"/>
  <c r="F180" i="1" s="1"/>
  <c r="C195" i="1"/>
  <c r="E195" i="1" s="1"/>
  <c r="D196" i="1"/>
  <c r="F196" i="1" s="1"/>
  <c r="C211" i="1"/>
  <c r="E211" i="1" s="1"/>
  <c r="D212" i="1"/>
  <c r="F212" i="1" s="1"/>
  <c r="C227" i="1"/>
  <c r="E227" i="1" s="1"/>
  <c r="D228" i="1"/>
  <c r="F228" i="1" s="1"/>
  <c r="C243" i="1"/>
  <c r="E243" i="1" s="1"/>
  <c r="D244" i="1"/>
  <c r="F244" i="1" s="1"/>
  <c r="C259" i="1"/>
  <c r="E259" i="1" s="1"/>
  <c r="D260" i="1"/>
  <c r="F260" i="1" s="1"/>
  <c r="D303" i="1"/>
  <c r="F303" i="1" s="1"/>
  <c r="C303" i="1"/>
  <c r="E303" i="1" s="1"/>
  <c r="D334" i="1"/>
  <c r="F334" i="1" s="1"/>
  <c r="C334" i="1"/>
  <c r="E334" i="1" s="1"/>
  <c r="C336" i="1"/>
  <c r="E336" i="1" s="1"/>
  <c r="D336" i="1"/>
  <c r="F336" i="1" s="1"/>
  <c r="C360" i="1"/>
  <c r="E360" i="1" s="1"/>
  <c r="D360" i="1"/>
  <c r="F360" i="1" s="1"/>
  <c r="C348" i="1"/>
  <c r="E348" i="1" s="1"/>
  <c r="D348" i="1"/>
  <c r="F348" i="1" s="1"/>
  <c r="D386" i="1"/>
  <c r="F386" i="1" s="1"/>
  <c r="C386" i="1"/>
  <c r="E386" i="1" s="1"/>
  <c r="C388" i="1"/>
  <c r="E388" i="1" s="1"/>
  <c r="D388" i="1"/>
  <c r="F388" i="1" s="1"/>
  <c r="D400" i="1"/>
  <c r="F400" i="1" s="1"/>
  <c r="C400" i="1"/>
  <c r="E400" i="1" s="1"/>
  <c r="D435" i="1"/>
  <c r="F435" i="1" s="1"/>
  <c r="C435" i="1"/>
  <c r="E435" i="1" s="1"/>
  <c r="D347" i="1"/>
  <c r="F347" i="1" s="1"/>
  <c r="C347" i="1"/>
  <c r="E347" i="1" s="1"/>
  <c r="C359" i="1"/>
  <c r="E359" i="1" s="1"/>
  <c r="C364" i="1"/>
  <c r="E364" i="1" s="1"/>
  <c r="D364" i="1"/>
  <c r="F364" i="1" s="1"/>
  <c r="D419" i="1"/>
  <c r="F419" i="1" s="1"/>
  <c r="C419" i="1"/>
  <c r="E419" i="1" s="1"/>
  <c r="D448" i="1"/>
  <c r="F448" i="1" s="1"/>
  <c r="C448" i="1"/>
  <c r="E448" i="1" s="1"/>
  <c r="C279" i="1"/>
  <c r="E279" i="1" s="1"/>
  <c r="D280" i="1"/>
  <c r="F280" i="1" s="1"/>
  <c r="C295" i="1"/>
  <c r="E295" i="1" s="1"/>
  <c r="D296" i="1"/>
  <c r="F296" i="1" s="1"/>
  <c r="C311" i="1"/>
  <c r="E311" i="1" s="1"/>
  <c r="D312" i="1"/>
  <c r="F312" i="1" s="1"/>
  <c r="C327" i="1"/>
  <c r="E327" i="1" s="1"/>
  <c r="D328" i="1"/>
  <c r="F328" i="1" s="1"/>
  <c r="C355" i="1"/>
  <c r="E355" i="1" s="1"/>
  <c r="D356" i="1"/>
  <c r="F356" i="1" s="1"/>
  <c r="C358" i="1"/>
  <c r="E358" i="1" s="1"/>
  <c r="D363" i="1"/>
  <c r="F363" i="1" s="1"/>
  <c r="C363" i="1"/>
  <c r="E363" i="1" s="1"/>
  <c r="D387" i="1"/>
  <c r="F387" i="1" s="1"/>
  <c r="C387" i="1"/>
  <c r="E387" i="1" s="1"/>
  <c r="D403" i="1"/>
  <c r="F403" i="1" s="1"/>
  <c r="C403" i="1"/>
  <c r="E403" i="1" s="1"/>
  <c r="D432" i="1"/>
  <c r="F432" i="1" s="1"/>
  <c r="C432" i="1"/>
  <c r="E432" i="1" s="1"/>
  <c r="D396" i="1"/>
  <c r="F396" i="1" s="1"/>
  <c r="C396" i="1"/>
  <c r="E396" i="1" s="1"/>
  <c r="D412" i="1"/>
  <c r="F412" i="1" s="1"/>
  <c r="C412" i="1"/>
  <c r="E412" i="1" s="1"/>
  <c r="D428" i="1"/>
  <c r="F428" i="1" s="1"/>
  <c r="C428" i="1"/>
  <c r="E428" i="1" s="1"/>
  <c r="D444" i="1"/>
  <c r="F444" i="1" s="1"/>
  <c r="C444" i="1"/>
  <c r="E444" i="1" s="1"/>
  <c r="C390" i="1"/>
  <c r="E390" i="1" s="1"/>
  <c r="C399" i="1"/>
  <c r="E399" i="1" s="1"/>
  <c r="D408" i="1"/>
  <c r="F408" i="1" s="1"/>
  <c r="C408" i="1"/>
  <c r="E408" i="1" s="1"/>
  <c r="C415" i="1"/>
  <c r="E415" i="1" s="1"/>
  <c r="D424" i="1"/>
  <c r="F424" i="1" s="1"/>
  <c r="C424" i="1"/>
  <c r="E424" i="1" s="1"/>
  <c r="C431" i="1"/>
  <c r="E431" i="1" s="1"/>
  <c r="D440" i="1"/>
  <c r="F440" i="1" s="1"/>
  <c r="C440" i="1"/>
  <c r="E440" i="1" s="1"/>
  <c r="C447" i="1"/>
  <c r="E447" i="1" s="1"/>
  <c r="C379" i="1"/>
  <c r="E379" i="1" s="1"/>
  <c r="D380" i="1"/>
  <c r="F380" i="1" s="1"/>
  <c r="C395" i="1"/>
  <c r="E395" i="1" s="1"/>
  <c r="D404" i="1"/>
  <c r="F404" i="1" s="1"/>
  <c r="C404" i="1"/>
  <c r="E404" i="1" s="1"/>
  <c r="C411" i="1"/>
  <c r="E411" i="1" s="1"/>
  <c r="D420" i="1"/>
  <c r="F420" i="1" s="1"/>
  <c r="C420" i="1"/>
  <c r="E420" i="1" s="1"/>
  <c r="C427" i="1"/>
  <c r="E427" i="1" s="1"/>
  <c r="D436" i="1"/>
  <c r="F436" i="1" s="1"/>
  <c r="C436" i="1"/>
  <c r="E436" i="1" s="1"/>
  <c r="C443" i="1"/>
  <c r="E443" i="1" s="1"/>
</calcChain>
</file>

<file path=xl/sharedStrings.xml><?xml version="1.0" encoding="utf-8"?>
<sst xmlns="http://schemas.openxmlformats.org/spreadsheetml/2006/main" count="465" uniqueCount="464">
  <si>
    <t>Sample_ID</t>
  </si>
  <si>
    <t>Instrument_ID</t>
  </si>
  <si>
    <t>Peak_Area</t>
  </si>
  <si>
    <t>Run_Date</t>
  </si>
  <si>
    <t>S001</t>
  </si>
  <si>
    <t>HPLC_01</t>
  </si>
  <si>
    <t>S002</t>
  </si>
  <si>
    <t>S003</t>
  </si>
  <si>
    <t>GC_02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</si>
  <si>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</si>
  <si>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</si>
  <si>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</si>
  <si>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</si>
  <si>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</si>
  <si>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</si>
  <si>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</si>
  <si>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</si>
  <si>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</si>
  <si>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</si>
  <si>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</si>
  <si>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</si>
  <si>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</si>
  <si>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</si>
  <si>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</si>
  <si>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</si>
  <si>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</si>
  <si>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</si>
  <si>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</si>
  <si>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</si>
  <si>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</si>
  <si>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</si>
  <si>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</si>
  <si>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</si>
  <si>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</si>
  <si>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</si>
  <si>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</si>
  <si>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</si>
  <si>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</si>
  <si>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</si>
  <si>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</si>
  <si>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</si>
  <si>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</si>
  <si>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</si>
  <si>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</si>
  <si>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</si>
  <si>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</si>
  <si>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</si>
  <si>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</si>
  <si>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</si>
  <si>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</si>
  <si>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</si>
  <si>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</si>
  <si>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</si>
  <si>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</si>
  <si>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</si>
  <si>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</si>
  <si>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</si>
  <si>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</si>
  <si>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</si>
  <si>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</si>
  <si>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</si>
  <si>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</si>
  <si>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</si>
  <si>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</si>
  <si>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</si>
  <si>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</si>
  <si>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</si>
  <si>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</si>
  <si>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</si>
  <si>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</si>
  <si>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</si>
  <si>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</si>
  <si>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</si>
  <si>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</si>
  <si>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</si>
  <si>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</si>
  <si>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</si>
  <si>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</si>
  <si>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</si>
  <si>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</si>
  <si>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</si>
  <si>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</si>
  <si>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</si>
  <si>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</si>
  <si>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</si>
  <si>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</si>
  <si>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</si>
  <si>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</si>
  <si>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</si>
  <si>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</si>
  <si>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</si>
  <si>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</si>
  <si>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</si>
  <si>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</si>
  <si>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</si>
  <si>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</si>
  <si>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</si>
  <si>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</si>
  <si>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</si>
  <si>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</si>
  <si>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</si>
  <si>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</si>
  <si>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</si>
  <si>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</si>
  <si>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</si>
  <si>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</si>
  <si>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</si>
  <si>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</si>
  <si>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</si>
  <si>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</si>
  <si>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</si>
  <si>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</si>
  <si>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</si>
  <si>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</si>
  <si>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</si>
  <si>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</si>
  <si>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</si>
  <si>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</si>
  <si>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</si>
  <si>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</si>
  <si>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</si>
  <si>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</si>
  <si>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</si>
  <si>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</si>
  <si>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</si>
  <si>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</si>
  <si>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</si>
  <si>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</si>
  <si>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</si>
  <si>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</si>
  <si>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</si>
  <si>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</si>
  <si>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</si>
  <si>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</si>
  <si>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</si>
  <si>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</si>
  <si>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</si>
  <si>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</si>
  <si>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</si>
  <si>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</si>
  <si>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</si>
  <si>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</si>
  <si>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</si>
  <si>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</si>
  <si>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</si>
  <si>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</si>
  <si>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</si>
  <si>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</si>
  <si>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</si>
  <si>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</si>
  <si>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</si>
  <si>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</si>
  <si>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</si>
  <si>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</si>
  <si>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</si>
  <si>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</si>
  <si>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</si>
  <si>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</si>
  <si>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</si>
  <si>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</si>
  <si>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</si>
  <si>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</si>
  <si>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</si>
  <si>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</si>
  <si>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</si>
  <si>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</si>
  <si>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</si>
  <si>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</si>
  <si>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</si>
  <si>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</si>
  <si>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</si>
  <si>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</si>
  <si>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</si>
  <si>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</si>
  <si>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</si>
  <si>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</si>
  <si>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</si>
  <si>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</si>
  <si>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</si>
  <si>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</si>
  <si>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</si>
  <si>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</si>
  <si>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</si>
  <si>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</si>
  <si>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</si>
  <si>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</si>
  <si>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</si>
  <si>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</si>
  <si>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</si>
  <si>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</si>
  <si>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</si>
  <si>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</si>
  <si>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</si>
  <si>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</si>
  <si>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</si>
  <si>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</si>
  <si>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</si>
  <si>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</si>
  <si>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</si>
  <si>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</si>
  <si>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</si>
  <si>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</si>
  <si>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</si>
  <si>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</si>
  <si>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</si>
  <si>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</si>
  <si>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</si>
  <si>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</si>
  <si>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</si>
  <si>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</si>
  <si>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</si>
  <si>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</si>
  <si>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</si>
  <si>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</si>
  <si>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</si>
  <si>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</si>
  <si>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</si>
  <si>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</si>
  <si>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</si>
  <si>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</si>
  <si>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</si>
  <si>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</si>
  <si>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</si>
  <si>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</si>
  <si>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</si>
  <si>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</si>
  <si>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</si>
  <si>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</si>
  <si>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</si>
  <si>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</si>
  <si>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</si>
  <si>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</si>
  <si>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</si>
  <si>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</si>
  <si>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</si>
  <si>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</si>
  <si>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</si>
  <si>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</si>
  <si>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</si>
  <si>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</si>
  <si>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</si>
  <si>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</si>
  <si>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</si>
  <si>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</si>
  <si>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</si>
  <si>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</si>
  <si>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</si>
  <si>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</si>
  <si>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</si>
  <si>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</si>
  <si>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</si>
  <si>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</si>
  <si>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</si>
  <si>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</si>
  <si>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</si>
  <si>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</si>
  <si>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</si>
  <si>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</si>
  <si>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</si>
  <si>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</si>
  <si>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</si>
  <si>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</si>
  <si>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</si>
  <si>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</si>
  <si>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</si>
  <si>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</si>
  <si>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</si>
  <si>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</si>
  <si>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</si>
  <si>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</si>
  <si>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</si>
  <si>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</si>
  <si>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</si>
  <si>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</si>
  <si>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</si>
  <si>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</si>
  <si>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</si>
  <si>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</si>
  <si>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</si>
  <si>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</si>
  <si>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</si>
  <si>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</si>
  <si>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</si>
  <si>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</si>
  <si>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</si>
  <si>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</si>
  <si>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</si>
  <si>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</si>
  <si>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</si>
  <si>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</si>
  <si>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</si>
  <si>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</si>
  <si>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</si>
  <si>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</si>
  <si>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</si>
  <si>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</si>
  <si>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</si>
  <si>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</si>
  <si>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</si>
  <si>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</si>
  <si>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</si>
  <si>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</si>
  <si>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</si>
  <si>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</si>
  <si>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</si>
  <si>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</si>
  <si>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</si>
  <si>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</si>
  <si>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</si>
  <si>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</si>
  <si>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</si>
  <si>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</si>
  <si>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</si>
  <si>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</si>
  <si>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</si>
  <si>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</si>
  <si>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</si>
  <si>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</si>
  <si>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</si>
  <si>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</si>
  <si>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</si>
  <si>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</si>
  <si>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</si>
  <si>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</si>
  <si>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</si>
  <si>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</si>
  <si>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</si>
  <si>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</si>
  <si>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</si>
  <si>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</si>
  <si>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</si>
  <si>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</si>
  <si>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</si>
  <si>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</si>
  <si>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</si>
  <si>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</si>
  <si>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</si>
  <si>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</si>
  <si>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</si>
  <si>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</si>
  <si>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</si>
  <si>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</si>
  <si>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</si>
  <si>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</si>
  <si>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</si>
  <si>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</si>
  <si>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</si>
  <si>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</si>
  <si>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</si>
  <si>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</si>
  <si>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</si>
  <si>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</si>
  <si>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</si>
  <si>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</si>
  <si>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</si>
  <si>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</si>
  <si>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</si>
  <si>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</si>
  <si>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</si>
  <si>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</si>
  <si>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</si>
  <si>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</si>
  <si>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</si>
  <si>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</si>
  <si>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</si>
  <si>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</si>
  <si>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</si>
  <si>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</si>
  <si>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</si>
  <si>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</si>
  <si>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</si>
  <si>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</si>
  <si>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</si>
  <si>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</si>
  <si>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</si>
  <si>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</si>
  <si>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</si>
  <si>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</si>
  <si>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</si>
  <si>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</si>
  <si>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</si>
  <si>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</si>
  <si>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</si>
  <si>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</si>
  <si>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</si>
  <si>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</si>
  <si>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</si>
  <si>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</si>
  <si>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</si>
  <si>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</si>
  <si>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</si>
  <si>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</si>
  <si>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</si>
  <si>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</si>
  <si>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</si>
  <si>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</si>
  <si>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</si>
  <si>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</si>
  <si>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</si>
  <si>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</si>
  <si>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</si>
  <si>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</si>
  <si>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</si>
  <si>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</si>
  <si>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</si>
  <si>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</si>
  <si>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</si>
  <si>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</si>
  <si>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</si>
  <si>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</si>
  <si>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</si>
  <si>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</si>
  <si>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</si>
  <si>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</si>
  <si>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</si>
  <si>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</si>
  <si>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</si>
  <si>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</si>
  <si>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</si>
  <si>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</si>
  <si>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</si>
  <si>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</si>
  <si>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</si>
  <si>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</si>
  <si>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</si>
  <si>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</si>
  <si>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</si>
  <si>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</si>
  <si>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</si>
  <si>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</si>
  <si>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</si>
  <si>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</si>
  <si>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</si>
  <si>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</si>
  <si>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</si>
  <si>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</si>
  <si>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</si>
  <si>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</si>
  <si>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</si>
  <si>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</si>
  <si>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</si>
  <si>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</si>
  <si>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</si>
  <si>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</si>
  <si>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</si>
  <si>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</si>
  <si>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</si>
  <si>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</si>
  <si>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</si>
  <si>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</si>
  <si>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</si>
  <si>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</si>
  <si>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</si>
  <si>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</si>
  <si>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</si>
  <si>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Count of Sample_ID</t>
  </si>
  <si>
    <t>Count of Instrument_ID</t>
  </si>
  <si>
    <t>Count of Retention_Time (min)</t>
  </si>
  <si>
    <t>Count of Peak_Area</t>
  </si>
  <si>
    <t>Count of Concentration (mg/L)</t>
  </si>
  <si>
    <t>Count of Run_Date</t>
  </si>
  <si>
    <t>PeakWidth_min</t>
  </si>
  <si>
    <t>RetentionTime _min</t>
  </si>
  <si>
    <t>Concentration 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</si>
</sst>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. Christopher Edozie Sunday" refreshedDate="45970.559428935187" createdVersion="8" refreshedVersion="8" minRefreshableVersion="3" recordCount="449" xr:uid="{493C4E35-2763-BD45-8532-528578BDD5C8}">
  <cacheSource type="worksheet">
    <worksheetSource ref="A1:G450" sheet="simulated_data"/>
  </cacheSource>
  <cacheFields count="6">
    <cacheField name="Sample_ID" numFmtId="0">
      <sharedItems/>
    </cacheField>
    <cacheField name="Instrument_ID" numFmtId="0">
      <sharedItems/>
    </cacheField>
    <cacheField name="Retention_Time (min)" numFmtId="0">
      <sharedItems containsSemiMixedTypes="0" containsString="0" containsNumber="1" minValue="3.5" maxValue="5.5"/>
    </cacheField>
    <cacheField name="Peak_Area" numFmtId="0">
      <sharedItems containsSemiMixedTypes="0" containsString="0" containsNumber="1" containsInteger="1" minValue="9512" maxValue="10800"/>
    </cacheField>
    <cacheField name="Concentration (mg/L)" numFmtId="0">
      <sharedItems containsSemiMixedTypes="0" containsString="0" containsNumber="1" minValue="0.95" maxValue="1.08"/>
    </cacheField>
    <cacheField name="Run_Date" numFmtId="0">
      <sharedItems containsSemiMixedTypes="0" containsNonDate="0" containsDate="1" containsString="0" minDate="2025-01-01T00:00:00" maxDate="2025-04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">
  <r>
    <s v="S001"/>
    <s v="HPLC_01"/>
    <n v="5.2"/>
    <n v="10450"/>
    <n v="1"/>
    <d v="2025-01-02T00:00:00"/>
  </r>
  <r>
    <s v="S002"/>
    <s v="HPLC_01"/>
    <n v="5.3"/>
    <n v="10620"/>
    <n v="1.02"/>
    <d v="2025-01-03T00:00:00"/>
  </r>
  <r>
    <s v="S003"/>
    <s v="GC_02"/>
    <n v="3.8"/>
    <n v="9850"/>
    <n v="0.98"/>
    <d v="2025-01-03T00:00:00"/>
  </r>
  <r>
    <s v="S004"/>
    <s v="HPLC_01"/>
    <n v="5.0199999999999996"/>
    <n v="10296"/>
    <n v="1.03"/>
    <d v="2025-01-13T00:00:00"/>
  </r>
  <r>
    <s v="S005"/>
    <s v="HPLC_01"/>
    <n v="5.08"/>
    <n v="10155"/>
    <n v="1.02"/>
    <d v="2025-02-28T00:00:00"/>
  </r>
  <r>
    <s v="S006"/>
    <s v="HPLC_01"/>
    <n v="5.18"/>
    <n v="10610"/>
    <n v="1.06"/>
    <d v="2025-02-05T00:00:00"/>
  </r>
  <r>
    <s v="S007"/>
    <s v="GC_02"/>
    <n v="3.82"/>
    <n v="10091"/>
    <n v="1.01"/>
    <d v="2025-01-15T00:00:00"/>
  </r>
  <r>
    <s v="S008"/>
    <s v="HPLC_01"/>
    <n v="5.18"/>
    <n v="10789"/>
    <n v="1.08"/>
    <d v="2025-03-10T00:00:00"/>
  </r>
  <r>
    <s v="S009"/>
    <s v="GC_02"/>
    <n v="3.75"/>
    <n v="9888"/>
    <n v="0.99"/>
    <d v="2025-01-22T00:00:00"/>
  </r>
  <r>
    <s v="S010"/>
    <s v="GC_02"/>
    <n v="3.84"/>
    <n v="9556"/>
    <n v="0.96"/>
    <d v="2025-03-16T00:00:00"/>
  </r>
  <r>
    <s v="S011"/>
    <s v="GC_02"/>
    <n v="3.9"/>
    <n v="9999"/>
    <n v="1"/>
    <d v="2025-02-13T00:00:00"/>
  </r>
  <r>
    <s v="S012"/>
    <s v="GC_02"/>
    <n v="3.71"/>
    <n v="9916"/>
    <n v="0.99"/>
    <d v="2025-01-28T00:00:00"/>
  </r>
  <r>
    <s v="S013"/>
    <s v="GC_02"/>
    <n v="3.54"/>
    <n v="9702"/>
    <n v="0.97"/>
    <d v="2025-02-20T00:00:00"/>
  </r>
  <r>
    <s v="S014"/>
    <s v="GC_02"/>
    <n v="3.76"/>
    <n v="9737"/>
    <n v="0.97"/>
    <d v="2025-01-04T00:00:00"/>
  </r>
  <r>
    <s v="S015"/>
    <s v="HPLC_01"/>
    <n v="5.4"/>
    <n v="10399"/>
    <n v="1.04"/>
    <d v="2025-01-23T00:00:00"/>
  </r>
  <r>
    <s v="S016"/>
    <s v="HPLC_01"/>
    <n v="5.16"/>
    <n v="10036"/>
    <n v="1"/>
    <d v="2025-04-01T00:00:00"/>
  </r>
  <r>
    <s v="S017"/>
    <s v="GC_02"/>
    <n v="3.55"/>
    <n v="9899"/>
    <n v="0.99"/>
    <d v="2025-01-02T00:00:00"/>
  </r>
  <r>
    <s v="S018"/>
    <s v="GC_02"/>
    <n v="3.84"/>
    <n v="9776"/>
    <n v="0.98"/>
    <d v="2025-02-28T00:00:00"/>
  </r>
  <r>
    <s v="S019"/>
    <s v="GC_02"/>
    <n v="3.63"/>
    <n v="10021"/>
    <n v="1"/>
    <d v="2025-01-31T00:00:00"/>
  </r>
  <r>
    <s v="S020"/>
    <s v="HPLC_01"/>
    <n v="5.13"/>
    <n v="10329"/>
    <n v="1.03"/>
    <d v="2025-04-01T00:00:00"/>
  </r>
  <r>
    <s v="S021"/>
    <s v="GC_02"/>
    <n v="3.74"/>
    <n v="10102"/>
    <n v="1.01"/>
    <d v="2025-03-24T00:00:00"/>
  </r>
  <r>
    <s v="S022"/>
    <s v="GC_02"/>
    <n v="3.73"/>
    <n v="9679"/>
    <n v="0.97"/>
    <d v="2025-01-13T00:00:00"/>
  </r>
  <r>
    <s v="S023"/>
    <s v="GC_02"/>
    <n v="3.66"/>
    <n v="9688"/>
    <n v="0.97"/>
    <d v="2025-01-25T00:00:00"/>
  </r>
  <r>
    <s v="S024"/>
    <s v="GC_02"/>
    <n v="3.8"/>
    <n v="10037"/>
    <n v="1"/>
    <d v="2025-03-06T00:00:00"/>
  </r>
  <r>
    <s v="S025"/>
    <s v="HPLC_01"/>
    <n v="5.01"/>
    <n v="10083"/>
    <n v="1.01"/>
    <d v="2025-03-12T00:00:00"/>
  </r>
  <r>
    <s v="S026"/>
    <s v="GC_02"/>
    <n v="3.79"/>
    <n v="10099"/>
    <n v="1.01"/>
    <d v="2025-01-21T00:00:00"/>
  </r>
  <r>
    <s v="S027"/>
    <s v="HPLC_01"/>
    <n v="5.1100000000000003"/>
    <n v="10328"/>
    <n v="1.03"/>
    <d v="2025-03-31T00:00:00"/>
  </r>
  <r>
    <s v="S028"/>
    <s v="GC_02"/>
    <n v="3.58"/>
    <n v="9767"/>
    <n v="0.98"/>
    <d v="2025-01-10T00:00:00"/>
  </r>
  <r>
    <s v="S029"/>
    <s v="GC_02"/>
    <n v="3.73"/>
    <n v="9918"/>
    <n v="0.99"/>
    <d v="2025-03-19T00:00:00"/>
  </r>
  <r>
    <s v="S030"/>
    <s v="GC_02"/>
    <n v="3.75"/>
    <n v="9741"/>
    <n v="0.97"/>
    <d v="2025-01-04T00:00:00"/>
  </r>
  <r>
    <s v="S031"/>
    <s v="GC_02"/>
    <n v="3.51"/>
    <n v="9724"/>
    <n v="0.97"/>
    <d v="2025-03-24T00:00:00"/>
  </r>
  <r>
    <s v="S032"/>
    <s v="GC_02"/>
    <n v="3.67"/>
    <n v="9671"/>
    <n v="0.97"/>
    <d v="2025-03-19T00:00:00"/>
  </r>
  <r>
    <s v="S033"/>
    <s v="GC_02"/>
    <n v="3.84"/>
    <n v="10126"/>
    <n v="1.01"/>
    <d v="2025-03-14T00:00:00"/>
  </r>
  <r>
    <s v="S034"/>
    <s v="GC_02"/>
    <n v="3.85"/>
    <n v="9728"/>
    <n v="0.97"/>
    <d v="2025-03-26T00:00:00"/>
  </r>
  <r>
    <s v="S035"/>
    <s v="HPLC_01"/>
    <n v="5.18"/>
    <n v="10219"/>
    <n v="1.02"/>
    <d v="2025-03-24T00:00:00"/>
  </r>
  <r>
    <s v="S036"/>
    <s v="GC_02"/>
    <n v="3.88"/>
    <n v="9809"/>
    <n v="0.98"/>
    <d v="2025-03-28T00:00:00"/>
  </r>
  <r>
    <s v="S037"/>
    <s v="HPLC_01"/>
    <n v="5.14"/>
    <n v="10041"/>
    <n v="1"/>
    <d v="2025-02-24T00:00:00"/>
  </r>
  <r>
    <s v="S038"/>
    <s v="HPLC_01"/>
    <n v="5.07"/>
    <n v="10542"/>
    <n v="1.05"/>
    <d v="2025-01-17T00:00:00"/>
  </r>
  <r>
    <s v="S039"/>
    <s v="GC_02"/>
    <n v="3.7"/>
    <n v="9545"/>
    <n v="0.95"/>
    <d v="2025-01-03T00:00:00"/>
  </r>
  <r>
    <s v="S040"/>
    <s v="GC_02"/>
    <n v="3.54"/>
    <n v="10186"/>
    <n v="1.02"/>
    <d v="2025-02-09T00:00:00"/>
  </r>
  <r>
    <s v="S041"/>
    <s v="GC_02"/>
    <n v="3.61"/>
    <n v="9914"/>
    <n v="0.99"/>
    <d v="2025-01-09T00:00:00"/>
  </r>
  <r>
    <s v="S042"/>
    <s v="HPLC_01"/>
    <n v="5.3"/>
    <n v="10366"/>
    <n v="1.04"/>
    <d v="2025-01-05T00:00:00"/>
  </r>
  <r>
    <s v="S043"/>
    <s v="HPLC_01"/>
    <n v="5.28"/>
    <n v="10566"/>
    <n v="1.06"/>
    <d v="2025-01-17T00:00:00"/>
  </r>
  <r>
    <s v="S044"/>
    <s v="HPLC_01"/>
    <n v="5.18"/>
    <n v="10305"/>
    <n v="1.03"/>
    <d v="2025-02-08T00:00:00"/>
  </r>
  <r>
    <s v="S045"/>
    <s v="GC_02"/>
    <n v="3.66"/>
    <n v="10124"/>
    <n v="1.01"/>
    <d v="2025-03-23T00:00:00"/>
  </r>
  <r>
    <s v="S046"/>
    <s v="HPLC_01"/>
    <n v="5.14"/>
    <n v="10670"/>
    <n v="1.07"/>
    <d v="2025-02-28T00:00:00"/>
  </r>
  <r>
    <s v="S047"/>
    <s v="HPLC_01"/>
    <n v="5.05"/>
    <n v="10445"/>
    <n v="1.04"/>
    <d v="2025-02-13T00:00:00"/>
  </r>
  <r>
    <s v="S048"/>
    <s v="GC_02"/>
    <n v="3.82"/>
    <n v="9650"/>
    <n v="0.97"/>
    <d v="2025-03-05T00:00:00"/>
  </r>
  <r>
    <s v="S049"/>
    <s v="HPLC_01"/>
    <n v="5.0599999999999996"/>
    <n v="10135"/>
    <n v="1.01"/>
    <d v="2025-03-09T00:00:00"/>
  </r>
  <r>
    <s v="S050"/>
    <s v="HPLC_01"/>
    <n v="5.35"/>
    <n v="10114"/>
    <n v="1.01"/>
    <d v="2025-03-15T00:00:00"/>
  </r>
  <r>
    <s v="S051"/>
    <s v="HPLC_01"/>
    <n v="5.39"/>
    <n v="10205"/>
    <n v="1.02"/>
    <d v="2025-02-01T00:00:00"/>
  </r>
  <r>
    <s v="S052"/>
    <s v="HPLC_01"/>
    <n v="5.03"/>
    <n v="10505"/>
    <n v="1.05"/>
    <d v="2025-01-31T00:00:00"/>
  </r>
  <r>
    <s v="S053"/>
    <s v="GC_02"/>
    <n v="3.73"/>
    <n v="9693"/>
    <n v="0.97"/>
    <d v="2025-01-06T00:00:00"/>
  </r>
  <r>
    <s v="S054"/>
    <s v="GC_02"/>
    <n v="3.56"/>
    <n v="9659"/>
    <n v="0.97"/>
    <d v="2025-02-03T00:00:00"/>
  </r>
  <r>
    <s v="S055"/>
    <s v="HPLC_01"/>
    <n v="5.3"/>
    <n v="10608"/>
    <n v="1.06"/>
    <d v="2025-01-01T00:00:00"/>
  </r>
  <r>
    <s v="S056"/>
    <s v="GC_02"/>
    <n v="3.72"/>
    <n v="9674"/>
    <n v="0.97"/>
    <d v="2025-01-30T00:00:00"/>
  </r>
  <r>
    <s v="S057"/>
    <s v="HPLC_01"/>
    <n v="5.4"/>
    <n v="10642"/>
    <n v="1.06"/>
    <d v="2025-01-27T00:00:00"/>
  </r>
  <r>
    <s v="S058"/>
    <s v="GC_02"/>
    <n v="3.66"/>
    <n v="9852"/>
    <n v="0.99"/>
    <d v="2025-01-09T00:00:00"/>
  </r>
  <r>
    <s v="S059"/>
    <s v="HPLC_01"/>
    <n v="5.0999999999999996"/>
    <n v="10251"/>
    <n v="1.03"/>
    <d v="2025-02-24T00:00:00"/>
  </r>
  <r>
    <s v="S060"/>
    <s v="HPLC_01"/>
    <n v="5.23"/>
    <n v="10711"/>
    <n v="1.07"/>
    <d v="2025-02-06T00:00:00"/>
  </r>
  <r>
    <s v="S061"/>
    <s v="HPLC_01"/>
    <n v="5.35"/>
    <n v="10330"/>
    <n v="1.03"/>
    <d v="2025-03-19T00:00:00"/>
  </r>
  <r>
    <s v="S062"/>
    <s v="HPLC_01"/>
    <n v="5.46"/>
    <n v="10403"/>
    <n v="1.04"/>
    <d v="2025-02-21T00:00:00"/>
  </r>
  <r>
    <s v="S063"/>
    <s v="GC_02"/>
    <n v="3.79"/>
    <n v="10121"/>
    <n v="1.01"/>
    <d v="2025-03-29T00:00:00"/>
  </r>
  <r>
    <s v="S064"/>
    <s v="GC_02"/>
    <n v="3.66"/>
    <n v="9616"/>
    <n v="0.96"/>
    <d v="2025-02-25T00:00:00"/>
  </r>
  <r>
    <s v="S065"/>
    <s v="GC_02"/>
    <n v="3.56"/>
    <n v="9935"/>
    <n v="0.99"/>
    <d v="2025-02-18T00:00:00"/>
  </r>
  <r>
    <s v="S066"/>
    <s v="HPLC_01"/>
    <n v="5.24"/>
    <n v="10775"/>
    <n v="1.08"/>
    <d v="2025-03-05T00:00:00"/>
  </r>
  <r>
    <s v="S067"/>
    <s v="HPLC_01"/>
    <n v="5.38"/>
    <n v="10420"/>
    <n v="1.04"/>
    <d v="2025-03-04T00:00:00"/>
  </r>
  <r>
    <s v="S068"/>
    <s v="GC_02"/>
    <n v="3.67"/>
    <n v="10113"/>
    <n v="1.01"/>
    <d v="2025-02-20T00:00:00"/>
  </r>
  <r>
    <s v="S069"/>
    <s v="GC_02"/>
    <n v="3.89"/>
    <n v="10170"/>
    <n v="1.02"/>
    <d v="2025-02-25T00:00:00"/>
  </r>
  <r>
    <s v="S070"/>
    <s v="HPLC_01"/>
    <n v="5.33"/>
    <n v="10363"/>
    <n v="1.04"/>
    <d v="2025-01-20T00:00:00"/>
  </r>
  <r>
    <s v="S071"/>
    <s v="GC_02"/>
    <n v="3.58"/>
    <n v="9887"/>
    <n v="0.99"/>
    <d v="2025-02-15T00:00:00"/>
  </r>
  <r>
    <s v="S072"/>
    <s v="GC_02"/>
    <n v="3.63"/>
    <n v="9727"/>
    <n v="0.97"/>
    <d v="2025-01-24T00:00:00"/>
  </r>
  <r>
    <s v="S073"/>
    <s v="GC_02"/>
    <n v="3.51"/>
    <n v="9591"/>
    <n v="0.96"/>
    <d v="2025-01-02T00:00:00"/>
  </r>
  <r>
    <s v="S074"/>
    <s v="HPLC_01"/>
    <n v="5.31"/>
    <n v="10392"/>
    <n v="1.04"/>
    <d v="2025-03-09T00:00:00"/>
  </r>
  <r>
    <s v="S075"/>
    <s v="GC_02"/>
    <n v="3.83"/>
    <n v="9775"/>
    <n v="0.98"/>
    <d v="2025-03-11T00:00:00"/>
  </r>
  <r>
    <s v="S076"/>
    <s v="GC_02"/>
    <n v="3.59"/>
    <n v="9540"/>
    <n v="0.95"/>
    <d v="2025-01-26T00:00:00"/>
  </r>
  <r>
    <s v="S077"/>
    <s v="HPLC_01"/>
    <n v="5.38"/>
    <n v="10291"/>
    <n v="1.03"/>
    <d v="2025-03-19T00:00:00"/>
  </r>
  <r>
    <s v="S078"/>
    <s v="GC_02"/>
    <n v="3.8"/>
    <n v="9696"/>
    <n v="0.97"/>
    <d v="2025-01-06T00:00:00"/>
  </r>
  <r>
    <s v="S079"/>
    <s v="GC_02"/>
    <n v="3.7"/>
    <n v="9777"/>
    <n v="0.98"/>
    <d v="2025-01-02T00:00:00"/>
  </r>
  <r>
    <s v="S080"/>
    <s v="HPLC_01"/>
    <n v="5.0199999999999996"/>
    <n v="10704"/>
    <n v="1.07"/>
    <d v="2025-01-26T00:00:00"/>
  </r>
  <r>
    <s v="S081"/>
    <s v="GC_02"/>
    <n v="3.63"/>
    <n v="9650"/>
    <n v="0.97"/>
    <d v="2025-02-09T00:00:00"/>
  </r>
  <r>
    <s v="S082"/>
    <s v="HPLC_01"/>
    <n v="5.38"/>
    <n v="10711"/>
    <n v="1.07"/>
    <d v="2025-01-09T00:00:00"/>
  </r>
  <r>
    <s v="S083"/>
    <s v="GC_02"/>
    <n v="3.74"/>
    <n v="9702"/>
    <n v="0.97"/>
    <d v="2025-02-07T00:00:00"/>
  </r>
  <r>
    <s v="S084"/>
    <s v="GC_02"/>
    <n v="3.66"/>
    <n v="9733"/>
    <n v="0.97"/>
    <d v="2025-02-05T00:00:00"/>
  </r>
  <r>
    <s v="S085"/>
    <s v="GC_02"/>
    <n v="3.88"/>
    <n v="9922"/>
    <n v="0.99"/>
    <d v="2025-02-19T00:00:00"/>
  </r>
  <r>
    <s v="S086"/>
    <s v="GC_02"/>
    <n v="3.86"/>
    <n v="10070"/>
    <n v="1.01"/>
    <d v="2025-03-27T00:00:00"/>
  </r>
  <r>
    <s v="S087"/>
    <s v="HPLC_01"/>
    <n v="5.26"/>
    <n v="10683"/>
    <n v="1.07"/>
    <d v="2025-02-21T00:00:00"/>
  </r>
  <r>
    <s v="S088"/>
    <s v="HPLC_01"/>
    <n v="5.4"/>
    <n v="10034"/>
    <n v="1"/>
    <d v="2025-01-07T00:00:00"/>
  </r>
  <r>
    <s v="S089"/>
    <s v="GC_02"/>
    <n v="3.83"/>
    <n v="10122"/>
    <n v="1.01"/>
    <d v="2025-03-04T00:00:00"/>
  </r>
  <r>
    <s v="S090"/>
    <s v="GC_02"/>
    <n v="3.74"/>
    <n v="9605"/>
    <n v="0.96"/>
    <d v="2025-01-28T00:00:00"/>
  </r>
  <r>
    <s v="S091"/>
    <s v="GC_02"/>
    <n v="3.8"/>
    <n v="9936"/>
    <n v="0.99"/>
    <d v="2025-03-11T00:00:00"/>
  </r>
  <r>
    <s v="S092"/>
    <s v="HPLC_01"/>
    <n v="5.15"/>
    <n v="10281"/>
    <n v="1.03"/>
    <d v="2025-01-17T00:00:00"/>
  </r>
  <r>
    <s v="S093"/>
    <s v="GC_02"/>
    <n v="3.67"/>
    <n v="10018"/>
    <n v="1"/>
    <d v="2025-03-31T00:00:00"/>
  </r>
  <r>
    <s v="S094"/>
    <s v="GC_02"/>
    <n v="3.81"/>
    <n v="9688"/>
    <n v="0.97"/>
    <d v="2025-02-26T00:00:00"/>
  </r>
  <r>
    <s v="S095"/>
    <s v="HPLC_01"/>
    <n v="5.38"/>
    <n v="10327"/>
    <n v="1.03"/>
    <d v="2025-02-05T00:00:00"/>
  </r>
  <r>
    <s v="S096"/>
    <s v="GC_02"/>
    <n v="3.73"/>
    <n v="9542"/>
    <n v="0.95"/>
    <d v="2025-01-25T00:00:00"/>
  </r>
  <r>
    <s v="S097"/>
    <s v="HPLC_01"/>
    <n v="5.46"/>
    <n v="10718"/>
    <n v="1.07"/>
    <d v="2025-03-02T00:00:00"/>
  </r>
  <r>
    <s v="S098"/>
    <s v="GC_02"/>
    <n v="3.54"/>
    <n v="9813"/>
    <n v="0.98"/>
    <d v="2025-03-03T00:00:00"/>
  </r>
  <r>
    <s v="S099"/>
    <s v="GC_02"/>
    <n v="3.55"/>
    <n v="9851"/>
    <n v="0.99"/>
    <d v="2025-02-19T00:00:00"/>
  </r>
  <r>
    <s v="S100"/>
    <s v="HPLC_01"/>
    <n v="5.24"/>
    <n v="10371"/>
    <n v="1.04"/>
    <d v="2025-03-18T00:00:00"/>
  </r>
  <r>
    <s v="S101"/>
    <s v="HPLC_01"/>
    <n v="5.1100000000000003"/>
    <n v="10484"/>
    <n v="1.05"/>
    <d v="2025-03-07T00:00:00"/>
  </r>
  <r>
    <s v="S102"/>
    <s v="GC_02"/>
    <n v="3.6"/>
    <n v="10061"/>
    <n v="1.01"/>
    <d v="2025-01-12T00:00:00"/>
  </r>
  <r>
    <s v="S103"/>
    <s v="GC_02"/>
    <n v="3.58"/>
    <n v="9624"/>
    <n v="0.96"/>
    <d v="2025-03-23T00:00:00"/>
  </r>
  <r>
    <s v="S104"/>
    <s v="GC_02"/>
    <n v="3.77"/>
    <n v="9968"/>
    <n v="1"/>
    <d v="2025-01-08T00:00:00"/>
  </r>
  <r>
    <s v="S105"/>
    <s v="GC_02"/>
    <n v="3.85"/>
    <n v="9685"/>
    <n v="0.97"/>
    <d v="2025-02-20T00:00:00"/>
  </r>
  <r>
    <s v="S106"/>
    <s v="HPLC_01"/>
    <n v="5.19"/>
    <n v="10180"/>
    <n v="1.02"/>
    <d v="2025-02-03T00:00:00"/>
  </r>
  <r>
    <s v="S107"/>
    <s v="GC_02"/>
    <n v="3.84"/>
    <n v="10043"/>
    <n v="1"/>
    <d v="2025-03-02T00:00:00"/>
  </r>
  <r>
    <s v="S108"/>
    <s v="GC_02"/>
    <n v="3.58"/>
    <n v="9912"/>
    <n v="0.99"/>
    <d v="2025-03-25T00:00:00"/>
  </r>
  <r>
    <s v="S109"/>
    <s v="HPLC_01"/>
    <n v="5.0199999999999996"/>
    <n v="10560"/>
    <n v="1.06"/>
    <d v="2025-02-09T00:00:00"/>
  </r>
  <r>
    <s v="S110"/>
    <s v="GC_02"/>
    <n v="3.51"/>
    <n v="9904"/>
    <n v="0.99"/>
    <d v="2025-02-17T00:00:00"/>
  </r>
  <r>
    <s v="S111"/>
    <s v="HPLC_01"/>
    <n v="5.0199999999999996"/>
    <n v="10196"/>
    <n v="1.02"/>
    <d v="2025-03-26T00:00:00"/>
  </r>
  <r>
    <s v="S112"/>
    <s v="HPLC_01"/>
    <n v="5.38"/>
    <n v="10750"/>
    <n v="1.08"/>
    <d v="2025-03-18T00:00:00"/>
  </r>
  <r>
    <s v="S113"/>
    <s v="GC_02"/>
    <n v="3.76"/>
    <n v="9542"/>
    <n v="0.95"/>
    <d v="2025-03-17T00:00:00"/>
  </r>
  <r>
    <s v="S114"/>
    <s v="HPLC_01"/>
    <n v="5.0999999999999996"/>
    <n v="10515"/>
    <n v="1.05"/>
    <d v="2025-01-04T00:00:00"/>
  </r>
  <r>
    <s v="S115"/>
    <s v="GC_02"/>
    <n v="3.51"/>
    <n v="10190"/>
    <n v="1.02"/>
    <d v="2025-01-19T00:00:00"/>
  </r>
  <r>
    <s v="S116"/>
    <s v="HPLC_01"/>
    <n v="5.41"/>
    <n v="10106"/>
    <n v="1.01"/>
    <d v="2025-01-16T00:00:00"/>
  </r>
  <r>
    <s v="S117"/>
    <s v="HPLC_01"/>
    <n v="5.0199999999999996"/>
    <n v="10478"/>
    <n v="1.05"/>
    <d v="2025-01-13T00:00:00"/>
  </r>
  <r>
    <s v="S118"/>
    <s v="GC_02"/>
    <n v="3.52"/>
    <n v="9851"/>
    <n v="0.99"/>
    <d v="2025-01-04T00:00:00"/>
  </r>
  <r>
    <s v="S119"/>
    <s v="GC_02"/>
    <n v="3.83"/>
    <n v="9838"/>
    <n v="0.98"/>
    <d v="2025-02-16T00:00:00"/>
  </r>
  <r>
    <s v="S120"/>
    <s v="HPLC_01"/>
    <n v="5.26"/>
    <n v="10429"/>
    <n v="1.04"/>
    <d v="2025-01-06T00:00:00"/>
  </r>
  <r>
    <s v="S121"/>
    <s v="GC_02"/>
    <n v="3.88"/>
    <n v="9547"/>
    <n v="0.95"/>
    <d v="2025-04-01T00:00:00"/>
  </r>
  <r>
    <s v="S122"/>
    <s v="HPLC_01"/>
    <n v="5.32"/>
    <n v="10135"/>
    <n v="1.01"/>
    <d v="2025-02-07T00:00:00"/>
  </r>
  <r>
    <s v="S123"/>
    <s v="GC_02"/>
    <n v="3.55"/>
    <n v="9793"/>
    <n v="0.98"/>
    <d v="2025-03-23T00:00:00"/>
  </r>
  <r>
    <s v="S124"/>
    <s v="HPLC_01"/>
    <n v="5.36"/>
    <n v="10323"/>
    <n v="1.03"/>
    <d v="2025-02-27T00:00:00"/>
  </r>
  <r>
    <s v="S125"/>
    <s v="HPLC_01"/>
    <n v="5.41"/>
    <n v="10756"/>
    <n v="1.08"/>
    <d v="2025-01-30T00:00:00"/>
  </r>
  <r>
    <s v="S126"/>
    <s v="HPLC_01"/>
    <n v="5.45"/>
    <n v="10594"/>
    <n v="1.06"/>
    <d v="2025-01-21T00:00:00"/>
  </r>
  <r>
    <s v="S127"/>
    <s v="GC_02"/>
    <n v="3.58"/>
    <n v="9649"/>
    <n v="0.96"/>
    <d v="2025-03-11T00:00:00"/>
  </r>
  <r>
    <s v="S128"/>
    <s v="HPLC_01"/>
    <n v="5.01"/>
    <n v="10106"/>
    <n v="1.01"/>
    <d v="2025-02-01T00:00:00"/>
  </r>
  <r>
    <s v="S129"/>
    <s v="GC_02"/>
    <n v="3.75"/>
    <n v="9691"/>
    <n v="0.97"/>
    <d v="2025-03-10T00:00:00"/>
  </r>
  <r>
    <s v="S130"/>
    <s v="HPLC_01"/>
    <n v="5.1100000000000003"/>
    <n v="10597"/>
    <n v="1.06"/>
    <d v="2025-02-12T00:00:00"/>
  </r>
  <r>
    <s v="S131"/>
    <s v="GC_02"/>
    <n v="3.55"/>
    <n v="10184"/>
    <n v="1.02"/>
    <d v="2025-01-13T00:00:00"/>
  </r>
  <r>
    <s v="S132"/>
    <s v="HPLC_01"/>
    <n v="5.17"/>
    <n v="10633"/>
    <n v="1.06"/>
    <d v="2025-03-20T00:00:00"/>
  </r>
  <r>
    <s v="S133"/>
    <s v="GC_02"/>
    <n v="3.66"/>
    <n v="10035"/>
    <n v="1"/>
    <d v="2025-01-11T00:00:00"/>
  </r>
  <r>
    <s v="S134"/>
    <s v="HPLC_01"/>
    <n v="5.49"/>
    <n v="10399"/>
    <n v="1.04"/>
    <d v="2025-03-21T00:00:00"/>
  </r>
  <r>
    <s v="S135"/>
    <s v="HPLC_01"/>
    <n v="5.45"/>
    <n v="10583"/>
    <n v="1.06"/>
    <d v="2025-03-14T00:00:00"/>
  </r>
  <r>
    <s v="S136"/>
    <s v="GC_02"/>
    <n v="3.83"/>
    <n v="10196"/>
    <n v="1.02"/>
    <d v="2025-03-31T00:00:00"/>
  </r>
  <r>
    <s v="S137"/>
    <s v="GC_02"/>
    <n v="3.71"/>
    <n v="10076"/>
    <n v="1.01"/>
    <d v="2025-01-10T00:00:00"/>
  </r>
  <r>
    <s v="S138"/>
    <s v="HPLC_01"/>
    <n v="5.31"/>
    <n v="10444"/>
    <n v="1.04"/>
    <d v="2025-02-11T00:00:00"/>
  </r>
  <r>
    <s v="S139"/>
    <s v="HPLC_01"/>
    <n v="5.16"/>
    <n v="10311"/>
    <n v="1.03"/>
    <d v="2025-02-23T00:00:00"/>
  </r>
  <r>
    <s v="S140"/>
    <s v="HPLC_01"/>
    <n v="5.3"/>
    <n v="10327"/>
    <n v="1.03"/>
    <d v="2025-02-02T00:00:00"/>
  </r>
  <r>
    <s v="S141"/>
    <s v="HPLC_01"/>
    <n v="5.3"/>
    <n v="10027"/>
    <n v="1"/>
    <d v="2025-03-14T00:00:00"/>
  </r>
  <r>
    <s v="S142"/>
    <s v="GC_02"/>
    <n v="3.66"/>
    <n v="9736"/>
    <n v="0.97"/>
    <d v="2025-02-20T00:00:00"/>
  </r>
  <r>
    <s v="S143"/>
    <s v="GC_02"/>
    <n v="3.77"/>
    <n v="9865"/>
    <n v="0.99"/>
    <d v="2025-02-21T00:00:00"/>
  </r>
  <r>
    <s v="S144"/>
    <s v="GC_02"/>
    <n v="3.88"/>
    <n v="9586"/>
    <n v="0.96"/>
    <d v="2025-03-26T00:00:00"/>
  </r>
  <r>
    <s v="S145"/>
    <s v="GC_02"/>
    <n v="3.62"/>
    <n v="9759"/>
    <n v="0.98"/>
    <d v="2025-03-11T00:00:00"/>
  </r>
  <r>
    <s v="S146"/>
    <s v="HPLC_01"/>
    <n v="5.4"/>
    <n v="10500"/>
    <n v="1.05"/>
    <d v="2025-03-18T00:00:00"/>
  </r>
  <r>
    <s v="S147"/>
    <s v="GC_02"/>
    <n v="3.72"/>
    <n v="9749"/>
    <n v="0.97"/>
    <d v="2025-03-15T00:00:00"/>
  </r>
  <r>
    <s v="S148"/>
    <s v="HPLC_01"/>
    <n v="5.47"/>
    <n v="10673"/>
    <n v="1.07"/>
    <d v="2025-02-28T00:00:00"/>
  </r>
  <r>
    <s v="S149"/>
    <s v="GC_02"/>
    <n v="3.79"/>
    <n v="9580"/>
    <n v="0.96"/>
    <d v="2025-03-10T00:00:00"/>
  </r>
  <r>
    <s v="S150"/>
    <s v="GC_02"/>
    <n v="3.75"/>
    <n v="9965"/>
    <n v="1"/>
    <d v="2025-02-10T00:00:00"/>
  </r>
  <r>
    <s v="S151"/>
    <s v="HPLC_01"/>
    <n v="5.43"/>
    <n v="10020"/>
    <n v="1"/>
    <d v="2025-03-15T00:00:00"/>
  </r>
  <r>
    <s v="S152"/>
    <s v="HPLC_01"/>
    <n v="5.22"/>
    <n v="10664"/>
    <n v="1.07"/>
    <d v="2025-01-06T00:00:00"/>
  </r>
  <r>
    <s v="S153"/>
    <s v="HPLC_01"/>
    <n v="5.05"/>
    <n v="10328"/>
    <n v="1.03"/>
    <d v="2025-03-22T00:00:00"/>
  </r>
  <r>
    <s v="S154"/>
    <s v="HPLC_01"/>
    <n v="5.35"/>
    <n v="10754"/>
    <n v="1.08"/>
    <d v="2025-01-13T00:00:00"/>
  </r>
  <r>
    <s v="S155"/>
    <s v="HPLC_01"/>
    <n v="5.4"/>
    <n v="10170"/>
    <n v="1.02"/>
    <d v="2025-03-06T00:00:00"/>
  </r>
  <r>
    <s v="S156"/>
    <s v="HPLC_01"/>
    <n v="5.1100000000000003"/>
    <n v="10158"/>
    <n v="1.02"/>
    <d v="2025-02-17T00:00:00"/>
  </r>
  <r>
    <s v="S157"/>
    <s v="GC_02"/>
    <n v="3.83"/>
    <n v="9544"/>
    <n v="0.95"/>
    <d v="2025-03-25T00:00:00"/>
  </r>
  <r>
    <s v="S158"/>
    <s v="GC_02"/>
    <n v="3.67"/>
    <n v="10162"/>
    <n v="1.02"/>
    <d v="2025-01-13T00:00:00"/>
  </r>
  <r>
    <s v="S159"/>
    <s v="GC_02"/>
    <n v="3.57"/>
    <n v="10023"/>
    <n v="1"/>
    <d v="2025-02-18T00:00:00"/>
  </r>
  <r>
    <s v="S160"/>
    <s v="GC_02"/>
    <n v="3.61"/>
    <n v="9788"/>
    <n v="0.98"/>
    <d v="2025-01-02T00:00:00"/>
  </r>
  <r>
    <s v="S161"/>
    <s v="HPLC_01"/>
    <n v="5"/>
    <n v="10612"/>
    <n v="1.06"/>
    <d v="2025-03-01T00:00:00"/>
  </r>
  <r>
    <s v="S162"/>
    <s v="HPLC_01"/>
    <n v="5.4"/>
    <n v="10013"/>
    <n v="1"/>
    <d v="2025-01-09T00:00:00"/>
  </r>
  <r>
    <s v="S163"/>
    <s v="HPLC_01"/>
    <n v="5.47"/>
    <n v="10679"/>
    <n v="1.07"/>
    <d v="2025-01-18T00:00:00"/>
  </r>
  <r>
    <s v="S164"/>
    <s v="HPLC_01"/>
    <n v="5.2"/>
    <n v="10537"/>
    <n v="1.05"/>
    <d v="2025-01-07T00:00:00"/>
  </r>
  <r>
    <s v="S165"/>
    <s v="HPLC_01"/>
    <n v="5.32"/>
    <n v="10208"/>
    <n v="1.02"/>
    <d v="2025-02-17T00:00:00"/>
  </r>
  <r>
    <s v="S166"/>
    <s v="GC_02"/>
    <n v="3.67"/>
    <n v="10139"/>
    <n v="1.01"/>
    <d v="2025-04-01T00:00:00"/>
  </r>
  <r>
    <s v="S167"/>
    <s v="HPLC_01"/>
    <n v="5.38"/>
    <n v="10160"/>
    <n v="1.02"/>
    <d v="2025-02-15T00:00:00"/>
  </r>
  <r>
    <s v="S168"/>
    <s v="HPLC_01"/>
    <n v="5.01"/>
    <n v="10145"/>
    <n v="1.01"/>
    <d v="2025-03-07T00:00:00"/>
  </r>
  <r>
    <s v="S169"/>
    <s v="HPLC_01"/>
    <n v="5.31"/>
    <n v="10110"/>
    <n v="1.01"/>
    <d v="2025-02-01T00:00:00"/>
  </r>
  <r>
    <s v="S170"/>
    <s v="HPLC_01"/>
    <n v="5.1100000000000003"/>
    <n v="10396"/>
    <n v="1.04"/>
    <d v="2025-01-25T00:00:00"/>
  </r>
  <r>
    <s v="S171"/>
    <s v="HPLC_01"/>
    <n v="5.3"/>
    <n v="10596"/>
    <n v="1.06"/>
    <d v="2025-01-04T00:00:00"/>
  </r>
  <r>
    <s v="S172"/>
    <s v="GC_02"/>
    <n v="3.72"/>
    <n v="9754"/>
    <n v="0.98"/>
    <d v="2025-03-29T00:00:00"/>
  </r>
  <r>
    <s v="S173"/>
    <s v="GC_02"/>
    <n v="3.74"/>
    <n v="10165"/>
    <n v="1.02"/>
    <d v="2025-01-25T00:00:00"/>
  </r>
  <r>
    <s v="S174"/>
    <s v="GC_02"/>
    <n v="3.66"/>
    <n v="10176"/>
    <n v="1.02"/>
    <d v="2025-01-12T00:00:00"/>
  </r>
  <r>
    <s v="S175"/>
    <s v="HPLC_01"/>
    <n v="5.08"/>
    <n v="10073"/>
    <n v="1.01"/>
    <d v="2025-02-28T00:00:00"/>
  </r>
  <r>
    <s v="S176"/>
    <s v="GC_02"/>
    <n v="3.78"/>
    <n v="9512"/>
    <n v="0.95"/>
    <d v="2025-01-09T00:00:00"/>
  </r>
  <r>
    <s v="S177"/>
    <s v="HPLC_01"/>
    <n v="5.49"/>
    <n v="10084"/>
    <n v="1.01"/>
    <d v="2025-01-09T00:00:00"/>
  </r>
  <r>
    <s v="S178"/>
    <s v="HPLC_01"/>
    <n v="5.07"/>
    <n v="10641"/>
    <n v="1.06"/>
    <d v="2025-03-31T00:00:00"/>
  </r>
  <r>
    <s v="S179"/>
    <s v="GC_02"/>
    <n v="3.62"/>
    <n v="10134"/>
    <n v="1.01"/>
    <d v="2025-01-10T00:00:00"/>
  </r>
  <r>
    <s v="S180"/>
    <s v="GC_02"/>
    <n v="3.6"/>
    <n v="10055"/>
    <n v="1.01"/>
    <d v="2025-03-19T00:00:00"/>
  </r>
  <r>
    <s v="S181"/>
    <s v="HPLC_01"/>
    <n v="5.07"/>
    <n v="10587"/>
    <n v="1.06"/>
    <d v="2025-03-05T00:00:00"/>
  </r>
  <r>
    <s v="S182"/>
    <s v="GC_02"/>
    <n v="3.54"/>
    <n v="10024"/>
    <n v="1"/>
    <d v="2025-03-24T00:00:00"/>
  </r>
  <r>
    <s v="S183"/>
    <s v="HPLC_01"/>
    <n v="5.0999999999999996"/>
    <n v="10020"/>
    <n v="1"/>
    <d v="2025-01-08T00:00:00"/>
  </r>
  <r>
    <s v="S184"/>
    <s v="HPLC_01"/>
    <n v="5.35"/>
    <n v="10358"/>
    <n v="1.04"/>
    <d v="2025-01-12T00:00:00"/>
  </r>
  <r>
    <s v="S185"/>
    <s v="GC_02"/>
    <n v="3.77"/>
    <n v="9960"/>
    <n v="1"/>
    <d v="2025-03-06T00:00:00"/>
  </r>
  <r>
    <s v="S186"/>
    <s v="HPLC_01"/>
    <n v="5.49"/>
    <n v="10030"/>
    <n v="1"/>
    <d v="2025-01-21T00:00:00"/>
  </r>
  <r>
    <s v="S187"/>
    <s v="GC_02"/>
    <n v="3.7"/>
    <n v="9591"/>
    <n v="0.96"/>
    <d v="2025-02-19T00:00:00"/>
  </r>
  <r>
    <s v="S188"/>
    <s v="GC_02"/>
    <n v="3.87"/>
    <n v="9799"/>
    <n v="0.98"/>
    <d v="2025-01-09T00:00:00"/>
  </r>
  <r>
    <s v="S189"/>
    <s v="GC_02"/>
    <n v="3.59"/>
    <n v="9842"/>
    <n v="0.98"/>
    <d v="2025-02-09T00:00:00"/>
  </r>
  <r>
    <s v="S190"/>
    <s v="HPLC_01"/>
    <n v="5.33"/>
    <n v="10592"/>
    <n v="1.06"/>
    <d v="2025-02-27T00:00:00"/>
  </r>
  <r>
    <s v="S191"/>
    <s v="HPLC_01"/>
    <n v="5.41"/>
    <n v="10224"/>
    <n v="1.02"/>
    <d v="2025-01-05T00:00:00"/>
  </r>
  <r>
    <s v="S192"/>
    <s v="GC_02"/>
    <n v="3.58"/>
    <n v="9989"/>
    <n v="1"/>
    <d v="2025-01-14T00:00:00"/>
  </r>
  <r>
    <s v="S193"/>
    <s v="GC_02"/>
    <n v="3.81"/>
    <n v="9565"/>
    <n v="0.96"/>
    <d v="2025-01-06T00:00:00"/>
  </r>
  <r>
    <s v="S194"/>
    <s v="GC_02"/>
    <n v="3.89"/>
    <n v="9979"/>
    <n v="1"/>
    <d v="2025-01-17T00:00:00"/>
  </r>
  <r>
    <s v="S195"/>
    <s v="HPLC_01"/>
    <n v="5.3"/>
    <n v="10167"/>
    <n v="1.02"/>
    <d v="2025-01-26T00:00:00"/>
  </r>
  <r>
    <s v="S196"/>
    <s v="HPLC_01"/>
    <n v="5.05"/>
    <n v="10078"/>
    <n v="1.01"/>
    <d v="2025-01-07T00:00:00"/>
  </r>
  <r>
    <s v="S197"/>
    <s v="GC_02"/>
    <n v="3.56"/>
    <n v="9820"/>
    <n v="0.98"/>
    <d v="2025-03-23T00:00:00"/>
  </r>
  <r>
    <s v="S198"/>
    <s v="GC_02"/>
    <n v="3.78"/>
    <n v="10047"/>
    <n v="1"/>
    <d v="2025-01-20T00:00:00"/>
  </r>
  <r>
    <s v="S199"/>
    <s v="HPLC_01"/>
    <n v="5.5"/>
    <n v="10740"/>
    <n v="1.07"/>
    <d v="2025-01-05T00:00:00"/>
  </r>
  <r>
    <s v="S200"/>
    <s v="GC_02"/>
    <n v="3.59"/>
    <n v="10187"/>
    <n v="1.02"/>
    <d v="2025-01-10T00:00:00"/>
  </r>
  <r>
    <s v="S201"/>
    <s v="HPLC_01"/>
    <n v="5.28"/>
    <n v="10134"/>
    <n v="1.01"/>
    <d v="2025-01-19T00:00:00"/>
  </r>
  <r>
    <s v="S202"/>
    <s v="GC_02"/>
    <n v="3.79"/>
    <n v="9853"/>
    <n v="0.99"/>
    <d v="2025-02-10T00:00:00"/>
  </r>
  <r>
    <s v="S203"/>
    <s v="GC_02"/>
    <n v="3.58"/>
    <n v="9744"/>
    <n v="0.97"/>
    <d v="2025-01-05T00:00:00"/>
  </r>
  <r>
    <s v="S204"/>
    <s v="GC_02"/>
    <n v="3.82"/>
    <n v="10008"/>
    <n v="1"/>
    <d v="2025-03-05T00:00:00"/>
  </r>
  <r>
    <s v="S205"/>
    <s v="GC_02"/>
    <n v="3.57"/>
    <n v="10040"/>
    <n v="1"/>
    <d v="2025-02-19T00:00:00"/>
  </r>
  <r>
    <s v="S206"/>
    <s v="GC_02"/>
    <n v="3.52"/>
    <n v="9578"/>
    <n v="0.96"/>
    <d v="2025-01-01T00:00:00"/>
  </r>
  <r>
    <s v="S207"/>
    <s v="GC_02"/>
    <n v="3.78"/>
    <n v="9882"/>
    <n v="0.99"/>
    <d v="2025-03-02T00:00:00"/>
  </r>
  <r>
    <s v="S208"/>
    <s v="GC_02"/>
    <n v="3.89"/>
    <n v="10062"/>
    <n v="1.01"/>
    <d v="2025-03-21T00:00:00"/>
  </r>
  <r>
    <s v="S209"/>
    <s v="HPLC_01"/>
    <n v="5.27"/>
    <n v="10352"/>
    <n v="1.04"/>
    <d v="2025-03-13T00:00:00"/>
  </r>
  <r>
    <s v="S210"/>
    <s v="HPLC_01"/>
    <n v="5.37"/>
    <n v="10176"/>
    <n v="1.02"/>
    <d v="2025-03-25T00:00:00"/>
  </r>
  <r>
    <s v="S211"/>
    <s v="HPLC_01"/>
    <n v="5.48"/>
    <n v="10330"/>
    <n v="1.03"/>
    <d v="2025-02-18T00:00:00"/>
  </r>
  <r>
    <s v="S212"/>
    <s v="GC_02"/>
    <n v="3.56"/>
    <n v="9835"/>
    <n v="0.98"/>
    <d v="2025-02-15T00:00:00"/>
  </r>
  <r>
    <s v="S213"/>
    <s v="GC_02"/>
    <n v="3.59"/>
    <n v="9805"/>
    <n v="0.98"/>
    <d v="2025-01-22T00:00:00"/>
  </r>
  <r>
    <s v="S214"/>
    <s v="GC_02"/>
    <n v="3.76"/>
    <n v="9669"/>
    <n v="0.97"/>
    <d v="2025-02-06T00:00:00"/>
  </r>
  <r>
    <s v="S215"/>
    <s v="HPLC_01"/>
    <n v="5.05"/>
    <n v="10025"/>
    <n v="1"/>
    <d v="2025-02-13T00:00:00"/>
  </r>
  <r>
    <s v="S216"/>
    <s v="GC_02"/>
    <n v="3.76"/>
    <n v="9972"/>
    <n v="1"/>
    <d v="2025-03-01T00:00:00"/>
  </r>
  <r>
    <s v="S217"/>
    <s v="HPLC_01"/>
    <n v="5.0599999999999996"/>
    <n v="10469"/>
    <n v="1.05"/>
    <d v="2025-01-02T00:00:00"/>
  </r>
  <r>
    <s v="S218"/>
    <s v="HPLC_01"/>
    <n v="5.49"/>
    <n v="10668"/>
    <n v="1.07"/>
    <d v="2025-03-15T00:00:00"/>
  </r>
  <r>
    <s v="S219"/>
    <s v="HPLC_01"/>
    <n v="5.18"/>
    <n v="10102"/>
    <n v="1.01"/>
    <d v="2025-02-03T00:00:00"/>
  </r>
  <r>
    <s v="S220"/>
    <s v="GC_02"/>
    <n v="3.5"/>
    <n v="9551"/>
    <n v="0.96"/>
    <d v="2025-03-26T00:00:00"/>
  </r>
  <r>
    <s v="S221"/>
    <s v="HPLC_01"/>
    <n v="5.04"/>
    <n v="10419"/>
    <n v="1.04"/>
    <d v="2025-03-25T00:00:00"/>
  </r>
  <r>
    <s v="S222"/>
    <s v="GC_02"/>
    <n v="3.69"/>
    <n v="10021"/>
    <n v="1"/>
    <d v="2025-02-11T00:00:00"/>
  </r>
  <r>
    <s v="S223"/>
    <s v="HPLC_01"/>
    <n v="5.24"/>
    <n v="10090"/>
    <n v="1.01"/>
    <d v="2025-02-09T00:00:00"/>
  </r>
  <r>
    <s v="S224"/>
    <s v="GC_02"/>
    <n v="3.66"/>
    <n v="10132"/>
    <n v="1.01"/>
    <d v="2025-02-13T00:00:00"/>
  </r>
  <r>
    <s v="S225"/>
    <s v="HPLC_01"/>
    <n v="5.2"/>
    <n v="10794"/>
    <n v="1.08"/>
    <d v="2025-01-01T00:00:00"/>
  </r>
  <r>
    <s v="S226"/>
    <s v="HPLC_01"/>
    <n v="5.25"/>
    <n v="10661"/>
    <n v="1.07"/>
    <d v="2025-01-20T00:00:00"/>
  </r>
  <r>
    <s v="S227"/>
    <s v="HPLC_01"/>
    <n v="5.34"/>
    <n v="10051"/>
    <n v="1.01"/>
    <d v="2025-01-19T00:00:00"/>
  </r>
  <r>
    <s v="S228"/>
    <s v="GC_02"/>
    <n v="3.82"/>
    <n v="9736"/>
    <n v="0.97"/>
    <d v="2025-03-30T00:00:00"/>
  </r>
  <r>
    <s v="S229"/>
    <s v="HPLC_01"/>
    <n v="5.21"/>
    <n v="10241"/>
    <n v="1.02"/>
    <d v="2025-01-25T00:00:00"/>
  </r>
  <r>
    <s v="S230"/>
    <s v="GC_02"/>
    <n v="3.65"/>
    <n v="9877"/>
    <n v="0.99"/>
    <d v="2025-03-08T00:00:00"/>
  </r>
  <r>
    <s v="S231"/>
    <s v="HPLC_01"/>
    <n v="5.1100000000000003"/>
    <n v="10673"/>
    <n v="1.07"/>
    <d v="2025-01-20T00:00:00"/>
  </r>
  <r>
    <s v="S232"/>
    <s v="GC_02"/>
    <n v="3.84"/>
    <n v="9676"/>
    <n v="0.97"/>
    <d v="2025-01-20T00:00:00"/>
  </r>
  <r>
    <s v="S233"/>
    <s v="HPLC_01"/>
    <n v="5.0199999999999996"/>
    <n v="10303"/>
    <n v="1.03"/>
    <d v="2025-01-15T00:00:00"/>
  </r>
  <r>
    <s v="S234"/>
    <s v="HPLC_01"/>
    <n v="5.48"/>
    <n v="10779"/>
    <n v="1.08"/>
    <d v="2025-02-23T00:00:00"/>
  </r>
  <r>
    <s v="S235"/>
    <s v="GC_02"/>
    <n v="3.56"/>
    <n v="9635"/>
    <n v="0.96"/>
    <d v="2025-01-07T00:00:00"/>
  </r>
  <r>
    <s v="S236"/>
    <s v="HPLC_01"/>
    <n v="5.49"/>
    <n v="10584"/>
    <n v="1.06"/>
    <d v="2025-01-21T00:00:00"/>
  </r>
  <r>
    <s v="S237"/>
    <s v="HPLC_01"/>
    <n v="5.0999999999999996"/>
    <n v="10317"/>
    <n v="1.03"/>
    <d v="2025-03-06T00:00:00"/>
  </r>
  <r>
    <s v="S238"/>
    <s v="GC_02"/>
    <n v="3.69"/>
    <n v="9696"/>
    <n v="0.97"/>
    <d v="2025-01-24T00:00:00"/>
  </r>
  <r>
    <s v="S239"/>
    <s v="GC_02"/>
    <n v="3.87"/>
    <n v="9981"/>
    <n v="1"/>
    <d v="2025-01-03T00:00:00"/>
  </r>
  <r>
    <s v="S240"/>
    <s v="HPLC_01"/>
    <n v="5.35"/>
    <n v="10218"/>
    <n v="1.02"/>
    <d v="2025-02-13T00:00:00"/>
  </r>
  <r>
    <s v="S241"/>
    <s v="HPLC_01"/>
    <n v="5.38"/>
    <n v="10642"/>
    <n v="1.06"/>
    <d v="2025-03-09T00:00:00"/>
  </r>
  <r>
    <s v="S242"/>
    <s v="GC_02"/>
    <n v="3.59"/>
    <n v="9617"/>
    <n v="0.96"/>
    <d v="2025-03-25T00:00:00"/>
  </r>
  <r>
    <s v="S243"/>
    <s v="GC_02"/>
    <n v="3.6"/>
    <n v="9978"/>
    <n v="1"/>
    <d v="2025-02-22T00:00:00"/>
  </r>
  <r>
    <s v="S244"/>
    <s v="HPLC_01"/>
    <n v="5.07"/>
    <n v="10092"/>
    <n v="1.01"/>
    <d v="2025-01-15T00:00:00"/>
  </r>
  <r>
    <s v="S245"/>
    <s v="GC_02"/>
    <n v="3.69"/>
    <n v="9703"/>
    <n v="0.97"/>
    <d v="2025-02-18T00:00:00"/>
  </r>
  <r>
    <s v="S246"/>
    <s v="GC_02"/>
    <n v="3.66"/>
    <n v="10176"/>
    <n v="1.02"/>
    <d v="2025-02-07T00:00:00"/>
  </r>
  <r>
    <s v="S247"/>
    <s v="GC_02"/>
    <n v="3.77"/>
    <n v="9575"/>
    <n v="0.96"/>
    <d v="2025-01-19T00:00:00"/>
  </r>
  <r>
    <s v="S248"/>
    <s v="HPLC_01"/>
    <n v="5.18"/>
    <n v="10612"/>
    <n v="1.06"/>
    <d v="2025-01-23T00:00:00"/>
  </r>
  <r>
    <s v="S249"/>
    <s v="GC_02"/>
    <n v="3.84"/>
    <n v="10089"/>
    <n v="1.01"/>
    <d v="2025-03-08T00:00:00"/>
  </r>
  <r>
    <s v="S250"/>
    <s v="GC_02"/>
    <n v="3.88"/>
    <n v="9896"/>
    <n v="0.99"/>
    <d v="2025-03-12T00:00:00"/>
  </r>
  <r>
    <s v="S251"/>
    <s v="GC_02"/>
    <n v="3.87"/>
    <n v="10086"/>
    <n v="1.01"/>
    <d v="2025-01-23T00:00:00"/>
  </r>
  <r>
    <s v="S252"/>
    <s v="GC_02"/>
    <n v="3.57"/>
    <n v="9582"/>
    <n v="0.96"/>
    <d v="2025-02-27T00:00:00"/>
  </r>
  <r>
    <s v="S253"/>
    <s v="GC_02"/>
    <n v="3.58"/>
    <n v="9859"/>
    <n v="0.99"/>
    <d v="2025-03-06T00:00:00"/>
  </r>
  <r>
    <s v="S254"/>
    <s v="GC_02"/>
    <n v="3.64"/>
    <n v="9670"/>
    <n v="0.97"/>
    <d v="2025-02-05T00:00:00"/>
  </r>
  <r>
    <s v="S255"/>
    <s v="HPLC_01"/>
    <n v="5.48"/>
    <n v="10379"/>
    <n v="1.04"/>
    <d v="2025-02-11T00:00:00"/>
  </r>
  <r>
    <s v="S256"/>
    <s v="GC_02"/>
    <n v="3.89"/>
    <n v="9596"/>
    <n v="0.96"/>
    <d v="2025-02-24T00:00:00"/>
  </r>
  <r>
    <s v="S257"/>
    <s v="HPLC_01"/>
    <n v="5.15"/>
    <n v="10514"/>
    <n v="1.05"/>
    <d v="2025-01-05T00:00:00"/>
  </r>
  <r>
    <s v="S258"/>
    <s v="GC_02"/>
    <n v="3.83"/>
    <n v="10030"/>
    <n v="1"/>
    <d v="2025-01-08T00:00:00"/>
  </r>
  <r>
    <s v="S259"/>
    <s v="GC_02"/>
    <n v="3.5"/>
    <n v="9658"/>
    <n v="0.97"/>
    <d v="2025-02-22T00:00:00"/>
  </r>
  <r>
    <s v="S260"/>
    <s v="HPLC_01"/>
    <n v="5.23"/>
    <n v="10110"/>
    <n v="1.01"/>
    <d v="2025-03-18T00:00:00"/>
  </r>
  <r>
    <s v="S261"/>
    <s v="HPLC_01"/>
    <n v="5.36"/>
    <n v="10471"/>
    <n v="1.05"/>
    <d v="2025-02-03T00:00:00"/>
  </r>
  <r>
    <s v="S262"/>
    <s v="GC_02"/>
    <n v="3.69"/>
    <n v="10136"/>
    <n v="1.01"/>
    <d v="2025-03-03T00:00:00"/>
  </r>
  <r>
    <s v="S263"/>
    <s v="HPLC_01"/>
    <n v="5.1100000000000003"/>
    <n v="10347"/>
    <n v="1.03"/>
    <d v="2025-01-30T00:00:00"/>
  </r>
  <r>
    <s v="S264"/>
    <s v="HPLC_01"/>
    <n v="5.04"/>
    <n v="10282"/>
    <n v="1.03"/>
    <d v="2025-03-23T00:00:00"/>
  </r>
  <r>
    <s v="S265"/>
    <s v="HPLC_01"/>
    <n v="5.24"/>
    <n v="10145"/>
    <n v="1.01"/>
    <d v="2025-01-09T00:00:00"/>
  </r>
  <r>
    <s v="S266"/>
    <s v="HPLC_01"/>
    <n v="5.22"/>
    <n v="10311"/>
    <n v="1.03"/>
    <d v="2025-02-09T00:00:00"/>
  </r>
  <r>
    <s v="S267"/>
    <s v="HPLC_01"/>
    <n v="5.4"/>
    <n v="10217"/>
    <n v="1.02"/>
    <d v="2025-03-24T00:00:00"/>
  </r>
  <r>
    <s v="S268"/>
    <s v="HPLC_01"/>
    <n v="5.33"/>
    <n v="10597"/>
    <n v="1.06"/>
    <d v="2025-01-16T00:00:00"/>
  </r>
  <r>
    <s v="S269"/>
    <s v="GC_02"/>
    <n v="3.52"/>
    <n v="9957"/>
    <n v="1"/>
    <d v="2025-03-31T00:00:00"/>
  </r>
  <r>
    <s v="S270"/>
    <s v="HPLC_01"/>
    <n v="5.33"/>
    <n v="10297"/>
    <n v="1.03"/>
    <d v="2025-02-02T00:00:00"/>
  </r>
  <r>
    <s v="S271"/>
    <s v="HPLC_01"/>
    <n v="5.01"/>
    <n v="10196"/>
    <n v="1.02"/>
    <d v="2025-01-27T00:00:00"/>
  </r>
  <r>
    <s v="S272"/>
    <s v="GC_02"/>
    <n v="3.77"/>
    <n v="9945"/>
    <n v="0.99"/>
    <d v="2025-01-17T00:00:00"/>
  </r>
  <r>
    <s v="S273"/>
    <s v="GC_02"/>
    <n v="3.51"/>
    <n v="9787"/>
    <n v="0.98"/>
    <d v="2025-02-16T00:00:00"/>
  </r>
  <r>
    <s v="S274"/>
    <s v="GC_02"/>
    <n v="3.58"/>
    <n v="9848"/>
    <n v="0.98"/>
    <d v="2025-01-15T00:00:00"/>
  </r>
  <r>
    <s v="S275"/>
    <s v="GC_02"/>
    <n v="3.87"/>
    <n v="10026"/>
    <n v="1"/>
    <d v="2025-02-22T00:00:00"/>
  </r>
  <r>
    <s v="S276"/>
    <s v="GC_02"/>
    <n v="3.75"/>
    <n v="9775"/>
    <n v="0.98"/>
    <d v="2025-03-29T00:00:00"/>
  </r>
  <r>
    <s v="S277"/>
    <s v="GC_02"/>
    <n v="3.78"/>
    <n v="9655"/>
    <n v="0.97"/>
    <d v="2025-03-26T00:00:00"/>
  </r>
  <r>
    <s v="S278"/>
    <s v="GC_02"/>
    <n v="3.88"/>
    <n v="9770"/>
    <n v="0.98"/>
    <d v="2025-01-12T00:00:00"/>
  </r>
  <r>
    <s v="S279"/>
    <s v="HPLC_01"/>
    <n v="5.31"/>
    <n v="10142"/>
    <n v="1.01"/>
    <d v="2025-03-28T00:00:00"/>
  </r>
  <r>
    <s v="S280"/>
    <s v="GC_02"/>
    <n v="3.85"/>
    <n v="10009"/>
    <n v="1"/>
    <d v="2025-03-09T00:00:00"/>
  </r>
  <r>
    <s v="S281"/>
    <s v="GC_02"/>
    <n v="3.8"/>
    <n v="10053"/>
    <n v="1.01"/>
    <d v="2025-02-17T00:00:00"/>
  </r>
  <r>
    <s v="S282"/>
    <s v="HPLC_01"/>
    <n v="5.16"/>
    <n v="10664"/>
    <n v="1.07"/>
    <d v="2025-01-07T00:00:00"/>
  </r>
  <r>
    <s v="S283"/>
    <s v="GC_02"/>
    <n v="3.57"/>
    <n v="10014"/>
    <n v="1"/>
    <d v="2025-02-20T00:00:00"/>
  </r>
  <r>
    <s v="S284"/>
    <s v="HPLC_01"/>
    <n v="5.25"/>
    <n v="10420"/>
    <n v="1.04"/>
    <d v="2025-02-01T00:00:00"/>
  </r>
  <r>
    <s v="S285"/>
    <s v="HPLC_01"/>
    <n v="5.22"/>
    <n v="10014"/>
    <n v="1"/>
    <d v="2025-01-16T00:00:00"/>
  </r>
  <r>
    <s v="S286"/>
    <s v="HPLC_01"/>
    <n v="5.03"/>
    <n v="10004"/>
    <n v="1"/>
    <d v="2025-02-12T00:00:00"/>
  </r>
  <r>
    <s v="S287"/>
    <s v="HPLC_01"/>
    <n v="5.09"/>
    <n v="10130"/>
    <n v="1.01"/>
    <d v="2025-03-01T00:00:00"/>
  </r>
  <r>
    <s v="S288"/>
    <s v="HPLC_01"/>
    <n v="5.22"/>
    <n v="10058"/>
    <n v="1.01"/>
    <d v="2025-03-23T00:00:00"/>
  </r>
  <r>
    <s v="S289"/>
    <s v="HPLC_01"/>
    <n v="5.21"/>
    <n v="10576"/>
    <n v="1.06"/>
    <d v="2025-01-16T00:00:00"/>
  </r>
  <r>
    <s v="S290"/>
    <s v="HPLC_01"/>
    <n v="5.37"/>
    <n v="10558"/>
    <n v="1.06"/>
    <d v="2025-03-20T00:00:00"/>
  </r>
  <r>
    <s v="S291"/>
    <s v="HPLC_01"/>
    <n v="5.24"/>
    <n v="10390"/>
    <n v="1.04"/>
    <d v="2025-03-24T00:00:00"/>
  </r>
  <r>
    <s v="S292"/>
    <s v="GC_02"/>
    <n v="3.77"/>
    <n v="10017"/>
    <n v="1"/>
    <d v="2025-02-13T00:00:00"/>
  </r>
  <r>
    <s v="S293"/>
    <s v="GC_02"/>
    <n v="3.68"/>
    <n v="9702"/>
    <n v="0.97"/>
    <d v="2025-03-24T00:00:00"/>
  </r>
  <r>
    <s v="S294"/>
    <s v="HPLC_01"/>
    <n v="5.36"/>
    <n v="10575"/>
    <n v="1.06"/>
    <d v="2025-01-31T00:00:00"/>
  </r>
  <r>
    <s v="S295"/>
    <s v="GC_02"/>
    <n v="3.61"/>
    <n v="10173"/>
    <n v="1.02"/>
    <d v="2025-01-28T00:00:00"/>
  </r>
  <r>
    <s v="S296"/>
    <s v="HPLC_01"/>
    <n v="5.14"/>
    <n v="10332"/>
    <n v="1.03"/>
    <d v="2025-03-08T00:00:00"/>
  </r>
  <r>
    <s v="S297"/>
    <s v="GC_02"/>
    <n v="3.64"/>
    <n v="10157"/>
    <n v="1.02"/>
    <d v="2025-03-18T00:00:00"/>
  </r>
  <r>
    <s v="S298"/>
    <s v="GC_02"/>
    <n v="3.56"/>
    <n v="10074"/>
    <n v="1.01"/>
    <d v="2025-02-10T00:00:00"/>
  </r>
  <r>
    <s v="S299"/>
    <s v="HPLC_01"/>
    <n v="5.42"/>
    <n v="10300"/>
    <n v="1.03"/>
    <d v="2025-03-21T00:00:00"/>
  </r>
  <r>
    <s v="S300"/>
    <s v="HPLC_01"/>
    <n v="5.33"/>
    <n v="10795"/>
    <n v="1.08"/>
    <d v="2025-03-22T00:00:00"/>
  </r>
  <r>
    <s v="S301"/>
    <s v="HPLC_01"/>
    <n v="5.36"/>
    <n v="10600"/>
    <n v="1.06"/>
    <d v="2025-02-28T00:00:00"/>
  </r>
  <r>
    <s v="S302"/>
    <s v="HPLC_01"/>
    <n v="5.08"/>
    <n v="10656"/>
    <n v="1.07"/>
    <d v="2025-02-03T00:00:00"/>
  </r>
  <r>
    <s v="S303"/>
    <s v="GC_02"/>
    <n v="3.52"/>
    <n v="10112"/>
    <n v="1.01"/>
    <d v="2025-03-29T00:00:00"/>
  </r>
  <r>
    <s v="S304"/>
    <s v="HPLC_01"/>
    <n v="5.27"/>
    <n v="10045"/>
    <n v="1"/>
    <d v="2025-02-27T00:00:00"/>
  </r>
  <r>
    <s v="S305"/>
    <s v="GC_02"/>
    <n v="3.54"/>
    <n v="9670"/>
    <n v="0.97"/>
    <d v="2025-03-18T00:00:00"/>
  </r>
  <r>
    <s v="S306"/>
    <s v="GC_02"/>
    <n v="3.75"/>
    <n v="9639"/>
    <n v="0.96"/>
    <d v="2025-03-12T00:00:00"/>
  </r>
  <r>
    <s v="S307"/>
    <s v="HPLC_01"/>
    <n v="5.36"/>
    <n v="10129"/>
    <n v="1.01"/>
    <d v="2025-03-11T00:00:00"/>
  </r>
  <r>
    <s v="S308"/>
    <s v="HPLC_01"/>
    <n v="5.37"/>
    <n v="10798"/>
    <n v="1.08"/>
    <d v="2025-03-11T00:00:00"/>
  </r>
  <r>
    <s v="S309"/>
    <s v="GC_02"/>
    <n v="3.52"/>
    <n v="9536"/>
    <n v="0.95"/>
    <d v="2025-01-28T00:00:00"/>
  </r>
  <r>
    <s v="S310"/>
    <s v="HPLC_01"/>
    <n v="5.4"/>
    <n v="10760"/>
    <n v="1.08"/>
    <d v="2025-01-07T00:00:00"/>
  </r>
  <r>
    <s v="S311"/>
    <s v="HPLC_01"/>
    <n v="5.12"/>
    <n v="10381"/>
    <n v="1.04"/>
    <d v="2025-02-07T00:00:00"/>
  </r>
  <r>
    <s v="S312"/>
    <s v="HPLC_01"/>
    <n v="5.28"/>
    <n v="10360"/>
    <n v="1.04"/>
    <d v="2025-01-30T00:00:00"/>
  </r>
  <r>
    <s v="S313"/>
    <s v="HPLC_01"/>
    <n v="5.27"/>
    <n v="10540"/>
    <n v="1.05"/>
    <d v="2025-01-24T00:00:00"/>
  </r>
  <r>
    <s v="S314"/>
    <s v="HPLC_01"/>
    <n v="5.49"/>
    <n v="10063"/>
    <n v="1.01"/>
    <d v="2025-02-26T00:00:00"/>
  </r>
  <r>
    <s v="S315"/>
    <s v="HPLC_01"/>
    <n v="5.09"/>
    <n v="10692"/>
    <n v="1.07"/>
    <d v="2025-02-12T00:00:00"/>
  </r>
  <r>
    <s v="S316"/>
    <s v="GC_02"/>
    <n v="3.69"/>
    <n v="9860"/>
    <n v="0.99"/>
    <d v="2025-03-26T00:00:00"/>
  </r>
  <r>
    <s v="S317"/>
    <s v="GC_02"/>
    <n v="3.77"/>
    <n v="9943"/>
    <n v="0.99"/>
    <d v="2025-03-17T00:00:00"/>
  </r>
  <r>
    <s v="S318"/>
    <s v="GC_02"/>
    <n v="3.84"/>
    <n v="9628"/>
    <n v="0.96"/>
    <d v="2025-02-10T00:00:00"/>
  </r>
  <r>
    <s v="S319"/>
    <s v="HPLC_01"/>
    <n v="5.14"/>
    <n v="10693"/>
    <n v="1.07"/>
    <d v="2025-01-31T00:00:00"/>
  </r>
  <r>
    <s v="S320"/>
    <s v="GC_02"/>
    <n v="3.84"/>
    <n v="9617"/>
    <n v="0.96"/>
    <d v="2025-02-20T00:00:00"/>
  </r>
  <r>
    <s v="S321"/>
    <s v="GC_02"/>
    <n v="3.58"/>
    <n v="9698"/>
    <n v="0.97"/>
    <d v="2025-03-18T00:00:00"/>
  </r>
  <r>
    <s v="S322"/>
    <s v="GC_02"/>
    <n v="3.69"/>
    <n v="10134"/>
    <n v="1.01"/>
    <d v="2025-03-03T00:00:00"/>
  </r>
  <r>
    <s v="S323"/>
    <s v="HPLC_01"/>
    <n v="5.31"/>
    <n v="10175"/>
    <n v="1.02"/>
    <d v="2025-03-03T00:00:00"/>
  </r>
  <r>
    <s v="S324"/>
    <s v="GC_02"/>
    <n v="3.81"/>
    <n v="9838"/>
    <n v="0.98"/>
    <d v="2025-01-28T00:00:00"/>
  </r>
  <r>
    <s v="S325"/>
    <s v="HPLC_01"/>
    <n v="5.21"/>
    <n v="10479"/>
    <n v="1.05"/>
    <d v="2025-02-01T00:00:00"/>
  </r>
  <r>
    <s v="S326"/>
    <s v="GC_02"/>
    <n v="3.54"/>
    <n v="9739"/>
    <n v="0.97"/>
    <d v="2025-02-07T00:00:00"/>
  </r>
  <r>
    <s v="S327"/>
    <s v="HPLC_01"/>
    <n v="5.26"/>
    <n v="10585"/>
    <n v="1.06"/>
    <d v="2025-03-01T00:00:00"/>
  </r>
  <r>
    <s v="S328"/>
    <s v="GC_02"/>
    <n v="3.5"/>
    <n v="10015"/>
    <n v="1"/>
    <d v="2025-03-30T00:00:00"/>
  </r>
  <r>
    <s v="S329"/>
    <s v="HPLC_01"/>
    <n v="5.31"/>
    <n v="10041"/>
    <n v="1"/>
    <d v="2025-02-19T00:00:00"/>
  </r>
  <r>
    <s v="S330"/>
    <s v="HPLC_01"/>
    <n v="5.05"/>
    <n v="10144"/>
    <n v="1.01"/>
    <d v="2025-02-16T00:00:00"/>
  </r>
  <r>
    <s v="S331"/>
    <s v="GC_02"/>
    <n v="3.63"/>
    <n v="9703"/>
    <n v="0.97"/>
    <d v="2025-02-07T00:00:00"/>
  </r>
  <r>
    <s v="S332"/>
    <s v="HPLC_01"/>
    <n v="5.44"/>
    <n v="10800"/>
    <n v="1.08"/>
    <d v="2025-03-07T00:00:00"/>
  </r>
  <r>
    <s v="S333"/>
    <s v="GC_02"/>
    <n v="3.7"/>
    <n v="9677"/>
    <n v="0.97"/>
    <d v="2025-03-31T00:00:00"/>
  </r>
  <r>
    <s v="S334"/>
    <s v="GC_02"/>
    <n v="3.71"/>
    <n v="10014"/>
    <n v="1"/>
    <d v="2025-01-26T00:00:00"/>
  </r>
  <r>
    <s v="S335"/>
    <s v="HPLC_01"/>
    <n v="5.49"/>
    <n v="10036"/>
    <n v="1"/>
    <d v="2025-01-15T00:00:00"/>
  </r>
  <r>
    <s v="S336"/>
    <s v="HPLC_01"/>
    <n v="5.2"/>
    <n v="10361"/>
    <n v="1.04"/>
    <d v="2025-02-24T00:00:00"/>
  </r>
  <r>
    <s v="S337"/>
    <s v="HPLC_01"/>
    <n v="5.45"/>
    <n v="10619"/>
    <n v="1.06"/>
    <d v="2025-01-16T00:00:00"/>
  </r>
  <r>
    <s v="S338"/>
    <s v="GC_02"/>
    <n v="3.87"/>
    <n v="9550"/>
    <n v="0.96"/>
    <d v="2025-03-28T00:00:00"/>
  </r>
  <r>
    <s v="S339"/>
    <s v="GC_02"/>
    <n v="3.88"/>
    <n v="10068"/>
    <n v="1.01"/>
    <d v="2025-02-03T00:00:00"/>
  </r>
  <r>
    <s v="S340"/>
    <s v="HPLC_01"/>
    <n v="5.21"/>
    <n v="10358"/>
    <n v="1.04"/>
    <d v="2025-01-19T00:00:00"/>
  </r>
  <r>
    <s v="S341"/>
    <s v="GC_02"/>
    <n v="3.68"/>
    <n v="10074"/>
    <n v="1.01"/>
    <d v="2025-02-01T00:00:00"/>
  </r>
  <r>
    <s v="S342"/>
    <s v="GC_02"/>
    <n v="3.62"/>
    <n v="10095"/>
    <n v="1.01"/>
    <d v="2025-03-09T00:00:00"/>
  </r>
  <r>
    <s v="S343"/>
    <s v="HPLC_01"/>
    <n v="5.3"/>
    <n v="10721"/>
    <n v="1.07"/>
    <d v="2025-03-10T00:00:00"/>
  </r>
  <r>
    <s v="S344"/>
    <s v="GC_02"/>
    <n v="3.68"/>
    <n v="10195"/>
    <n v="1.02"/>
    <d v="2025-03-12T00:00:00"/>
  </r>
  <r>
    <s v="S345"/>
    <s v="GC_02"/>
    <n v="3.68"/>
    <n v="10109"/>
    <n v="1.01"/>
    <d v="2025-03-25T00:00:00"/>
  </r>
  <r>
    <s v="S346"/>
    <s v="HPLC_01"/>
    <n v="5.25"/>
    <n v="10088"/>
    <n v="1.01"/>
    <d v="2025-03-24T00:00:00"/>
  </r>
  <r>
    <s v="S347"/>
    <s v="GC_02"/>
    <n v="3.85"/>
    <n v="10152"/>
    <n v="1.02"/>
    <d v="2025-03-28T00:00:00"/>
  </r>
  <r>
    <s v="S348"/>
    <s v="GC_02"/>
    <n v="3.57"/>
    <n v="10040"/>
    <n v="1"/>
    <d v="2025-01-12T00:00:00"/>
  </r>
  <r>
    <s v="S349"/>
    <s v="GC_02"/>
    <n v="3.77"/>
    <n v="10101"/>
    <n v="1.01"/>
    <d v="2025-03-07T00:00:00"/>
  </r>
  <r>
    <s v="S350"/>
    <s v="HPLC_01"/>
    <n v="5.26"/>
    <n v="10646"/>
    <n v="1.06"/>
    <d v="2025-03-18T00:00:00"/>
  </r>
  <r>
    <s v="S351"/>
    <s v="GC_02"/>
    <n v="3.64"/>
    <n v="10005"/>
    <n v="1"/>
    <d v="2025-01-30T00:00:00"/>
  </r>
  <r>
    <s v="S352"/>
    <s v="GC_02"/>
    <n v="3.64"/>
    <n v="9682"/>
    <n v="0.97"/>
    <d v="2025-02-11T00:00:00"/>
  </r>
  <r>
    <s v="S353"/>
    <s v="HPLC_01"/>
    <n v="5.0599999999999996"/>
    <n v="10323"/>
    <n v="1.03"/>
    <d v="2025-01-02T00:00:00"/>
  </r>
  <r>
    <s v="S354"/>
    <s v="GC_02"/>
    <n v="3.54"/>
    <n v="9630"/>
    <n v="0.96"/>
    <d v="2025-02-16T00:00:00"/>
  </r>
  <r>
    <s v="S355"/>
    <s v="HPLC_01"/>
    <n v="5.26"/>
    <n v="10150"/>
    <n v="1.02"/>
    <d v="2025-01-14T00:00:00"/>
  </r>
  <r>
    <s v="S356"/>
    <s v="GC_02"/>
    <n v="3.85"/>
    <n v="9698"/>
    <n v="0.97"/>
    <d v="2025-02-22T00:00:00"/>
  </r>
  <r>
    <s v="S357"/>
    <s v="GC_02"/>
    <n v="3.57"/>
    <n v="9625"/>
    <n v="0.96"/>
    <d v="2025-01-08T00:00:00"/>
  </r>
  <r>
    <s v="S358"/>
    <s v="HPLC_01"/>
    <n v="5.26"/>
    <n v="10064"/>
    <n v="1.01"/>
    <d v="2025-03-17T00:00:00"/>
  </r>
  <r>
    <s v="S359"/>
    <s v="GC_02"/>
    <n v="3.63"/>
    <n v="9747"/>
    <n v="0.97"/>
    <d v="2025-02-15T00:00:00"/>
  </r>
  <r>
    <s v="S360"/>
    <s v="GC_02"/>
    <n v="3.51"/>
    <n v="10054"/>
    <n v="1.01"/>
    <d v="2025-01-01T00:00:00"/>
  </r>
  <r>
    <s v="S361"/>
    <s v="GC_02"/>
    <n v="3.7"/>
    <n v="9559"/>
    <n v="0.96"/>
    <d v="2025-01-21T00:00:00"/>
  </r>
  <r>
    <s v="S362"/>
    <s v="HPLC_01"/>
    <n v="5.42"/>
    <n v="10774"/>
    <n v="1.08"/>
    <d v="2025-02-17T00:00:00"/>
  </r>
  <r>
    <s v="S363"/>
    <s v="GC_02"/>
    <n v="3.86"/>
    <n v="9673"/>
    <n v="0.97"/>
    <d v="2025-02-21T00:00:00"/>
  </r>
  <r>
    <s v="S364"/>
    <s v="HPLC_01"/>
    <n v="5.35"/>
    <n v="10414"/>
    <n v="1.04"/>
    <d v="2025-02-25T00:00:00"/>
  </r>
  <r>
    <s v="S365"/>
    <s v="GC_02"/>
    <n v="3.59"/>
    <n v="10113"/>
    <n v="1.01"/>
    <d v="2025-03-02T00:00:00"/>
  </r>
  <r>
    <s v="S366"/>
    <s v="HPLC_01"/>
    <n v="5.03"/>
    <n v="10516"/>
    <n v="1.05"/>
    <d v="2025-03-08T00:00:00"/>
  </r>
  <r>
    <s v="S367"/>
    <s v="HPLC_01"/>
    <n v="5.14"/>
    <n v="10048"/>
    <n v="1"/>
    <d v="2025-02-15T00:00:00"/>
  </r>
  <r>
    <s v="S368"/>
    <s v="GC_02"/>
    <n v="3.63"/>
    <n v="9795"/>
    <n v="0.98"/>
    <d v="2025-03-01T00:00:00"/>
  </r>
  <r>
    <s v="S369"/>
    <s v="HPLC_01"/>
    <n v="5.16"/>
    <n v="10786"/>
    <n v="1.08"/>
    <d v="2025-03-22T00:00:00"/>
  </r>
  <r>
    <s v="S370"/>
    <s v="GC_02"/>
    <n v="3.87"/>
    <n v="9900"/>
    <n v="0.99"/>
    <d v="2025-03-01T00:00:00"/>
  </r>
  <r>
    <s v="S371"/>
    <s v="HPLC_01"/>
    <n v="5.37"/>
    <n v="10662"/>
    <n v="1.07"/>
    <d v="2025-03-10T00:00:00"/>
  </r>
  <r>
    <s v="S372"/>
    <s v="HPLC_01"/>
    <n v="5.15"/>
    <n v="10076"/>
    <n v="1.01"/>
    <d v="2025-03-24T00:00:00"/>
  </r>
  <r>
    <s v="S373"/>
    <s v="GC_02"/>
    <n v="3.7"/>
    <n v="10019"/>
    <n v="1"/>
    <d v="2025-03-09T00:00:00"/>
  </r>
  <r>
    <s v="S374"/>
    <s v="HPLC_01"/>
    <n v="5.14"/>
    <n v="10482"/>
    <n v="1.05"/>
    <d v="2025-01-20T00:00:00"/>
  </r>
  <r>
    <s v="S375"/>
    <s v="GC_02"/>
    <n v="3.68"/>
    <n v="9561"/>
    <n v="0.96"/>
    <d v="2025-04-01T00:00:00"/>
  </r>
  <r>
    <s v="S376"/>
    <s v="HPLC_01"/>
    <n v="5.49"/>
    <n v="10095"/>
    <n v="1.01"/>
    <d v="2025-01-12T00:00:00"/>
  </r>
  <r>
    <s v="S377"/>
    <s v="HPLC_01"/>
    <n v="5.32"/>
    <n v="10626"/>
    <n v="1.06"/>
    <d v="2025-01-27T00:00:00"/>
  </r>
  <r>
    <s v="S378"/>
    <s v="GC_02"/>
    <n v="3.62"/>
    <n v="9707"/>
    <n v="0.97"/>
    <d v="2025-01-27T00:00:00"/>
  </r>
  <r>
    <s v="S379"/>
    <s v="GC_02"/>
    <n v="3.53"/>
    <n v="9577"/>
    <n v="0.96"/>
    <d v="2025-01-06T00:00:00"/>
  </r>
  <r>
    <s v="S380"/>
    <s v="HPLC_01"/>
    <n v="5.3"/>
    <n v="10296"/>
    <n v="1.03"/>
    <d v="2025-03-29T00:00:00"/>
  </r>
  <r>
    <s v="S381"/>
    <s v="GC_02"/>
    <n v="3.78"/>
    <n v="9990"/>
    <n v="1"/>
    <d v="2025-03-27T00:00:00"/>
  </r>
  <r>
    <s v="S382"/>
    <s v="HPLC_01"/>
    <n v="5.23"/>
    <n v="10489"/>
    <n v="1.05"/>
    <d v="2025-02-21T00:00:00"/>
  </r>
  <r>
    <s v="S383"/>
    <s v="GC_02"/>
    <n v="3.78"/>
    <n v="9783"/>
    <n v="0.98"/>
    <d v="2025-03-01T00:00:00"/>
  </r>
  <r>
    <s v="S384"/>
    <s v="GC_02"/>
    <n v="3.7"/>
    <n v="9530"/>
    <n v="0.95"/>
    <d v="2025-03-21T00:00:00"/>
  </r>
  <r>
    <s v="S385"/>
    <s v="GC_02"/>
    <n v="3.7"/>
    <n v="9544"/>
    <n v="0.95"/>
    <d v="2025-03-18T00:00:00"/>
  </r>
  <r>
    <s v="S386"/>
    <s v="GC_02"/>
    <n v="3.59"/>
    <n v="10011"/>
    <n v="1"/>
    <d v="2025-02-21T00:00:00"/>
  </r>
  <r>
    <s v="S387"/>
    <s v="GC_02"/>
    <n v="3.8"/>
    <n v="9586"/>
    <n v="0.96"/>
    <d v="2025-02-06T00:00:00"/>
  </r>
  <r>
    <s v="S388"/>
    <s v="GC_02"/>
    <n v="3.61"/>
    <n v="9873"/>
    <n v="0.99"/>
    <d v="2025-01-26T00:00:00"/>
  </r>
  <r>
    <s v="S389"/>
    <s v="HPLC_01"/>
    <n v="5.21"/>
    <n v="10472"/>
    <n v="1.05"/>
    <d v="2025-03-14T00:00:00"/>
  </r>
  <r>
    <s v="S390"/>
    <s v="GC_02"/>
    <n v="3.64"/>
    <n v="9924"/>
    <n v="0.99"/>
    <d v="2025-03-21T00:00:00"/>
  </r>
  <r>
    <s v="S391"/>
    <s v="GC_02"/>
    <n v="3.57"/>
    <n v="9991"/>
    <n v="1"/>
    <d v="2025-02-25T00:00:00"/>
  </r>
  <r>
    <s v="S392"/>
    <s v="GC_02"/>
    <n v="3.88"/>
    <n v="9668"/>
    <n v="0.97"/>
    <d v="2025-01-23T00:00:00"/>
  </r>
  <r>
    <s v="S393"/>
    <s v="GC_02"/>
    <n v="3.55"/>
    <n v="9966"/>
    <n v="1"/>
    <d v="2025-01-05T00:00:00"/>
  </r>
  <r>
    <s v="S394"/>
    <s v="HPLC_01"/>
    <n v="5.17"/>
    <n v="10540"/>
    <n v="1.05"/>
    <d v="2025-03-25T00:00:00"/>
  </r>
  <r>
    <s v="S395"/>
    <s v="HPLC_01"/>
    <n v="5.0999999999999996"/>
    <n v="10481"/>
    <n v="1.05"/>
    <d v="2025-03-02T00:00:00"/>
  </r>
  <r>
    <s v="S396"/>
    <s v="HPLC_01"/>
    <n v="5.38"/>
    <n v="10398"/>
    <n v="1.04"/>
    <d v="2025-03-31T00:00:00"/>
  </r>
  <r>
    <s v="S397"/>
    <s v="GC_02"/>
    <n v="3.61"/>
    <n v="9683"/>
    <n v="0.97"/>
    <d v="2025-03-25T00:00:00"/>
  </r>
  <r>
    <s v="S398"/>
    <s v="GC_02"/>
    <n v="3.77"/>
    <n v="10121"/>
    <n v="1.01"/>
    <d v="2025-02-09T00:00:00"/>
  </r>
  <r>
    <s v="S399"/>
    <s v="GC_02"/>
    <n v="3.61"/>
    <n v="10054"/>
    <n v="1.01"/>
    <d v="2025-03-25T00:00:00"/>
  </r>
  <r>
    <s v="S400"/>
    <s v="GC_02"/>
    <n v="3.78"/>
    <n v="9732"/>
    <n v="0.97"/>
    <d v="2025-01-09T00:00:00"/>
  </r>
  <r>
    <s v="S401"/>
    <s v="GC_02"/>
    <n v="3.71"/>
    <n v="10092"/>
    <n v="1.01"/>
    <d v="2025-02-20T00:00:00"/>
  </r>
  <r>
    <s v="S402"/>
    <s v="GC_02"/>
    <n v="3.81"/>
    <n v="9621"/>
    <n v="0.96"/>
    <d v="2025-03-29T00:00:00"/>
  </r>
  <r>
    <s v="S403"/>
    <s v="HPLC_01"/>
    <n v="5.0199999999999996"/>
    <n v="10302"/>
    <n v="1.03"/>
    <d v="2025-01-15T00:00:00"/>
  </r>
  <r>
    <s v="S404"/>
    <s v="GC_02"/>
    <n v="3.73"/>
    <n v="9596"/>
    <n v="0.96"/>
    <d v="2025-01-05T00:00:00"/>
  </r>
  <r>
    <s v="S405"/>
    <s v="GC_02"/>
    <n v="3.72"/>
    <n v="9534"/>
    <n v="0.95"/>
    <d v="2025-03-12T00:00:00"/>
  </r>
  <r>
    <s v="S406"/>
    <s v="HPLC_01"/>
    <n v="5"/>
    <n v="10290"/>
    <n v="1.03"/>
    <d v="2025-01-29T00:00:00"/>
  </r>
  <r>
    <s v="S407"/>
    <s v="GC_02"/>
    <n v="3.84"/>
    <n v="9805"/>
    <n v="0.98"/>
    <d v="2025-03-29T00:00:00"/>
  </r>
  <r>
    <s v="S408"/>
    <s v="HPLC_01"/>
    <n v="5.21"/>
    <n v="10365"/>
    <n v="1.04"/>
    <d v="2025-01-13T00:00:00"/>
  </r>
  <r>
    <s v="S409"/>
    <s v="GC_02"/>
    <n v="3.88"/>
    <n v="9514"/>
    <n v="0.95"/>
    <d v="2025-02-13T00:00:00"/>
  </r>
  <r>
    <s v="S410"/>
    <s v="HPLC_01"/>
    <n v="5.08"/>
    <n v="10073"/>
    <n v="1.01"/>
    <d v="2025-03-21T00:00:00"/>
  </r>
  <r>
    <s v="S411"/>
    <s v="GC_02"/>
    <n v="3.87"/>
    <n v="10085"/>
    <n v="1.01"/>
    <d v="2025-03-23T00:00:00"/>
  </r>
  <r>
    <s v="S412"/>
    <s v="GC_02"/>
    <n v="3.89"/>
    <n v="9561"/>
    <n v="0.96"/>
    <d v="2025-03-20T00:00:00"/>
  </r>
  <r>
    <s v="S413"/>
    <s v="GC_02"/>
    <n v="3.73"/>
    <n v="10105"/>
    <n v="1.01"/>
    <d v="2025-02-07T00:00:00"/>
  </r>
  <r>
    <s v="S414"/>
    <s v="GC_02"/>
    <n v="3.63"/>
    <n v="9902"/>
    <n v="0.99"/>
    <d v="2025-01-02T00:00:00"/>
  </r>
  <r>
    <s v="S415"/>
    <s v="GC_02"/>
    <n v="3.83"/>
    <n v="9581"/>
    <n v="0.96"/>
    <d v="2025-03-05T00:00:00"/>
  </r>
  <r>
    <s v="S416"/>
    <s v="GC_02"/>
    <n v="3.61"/>
    <n v="10151"/>
    <n v="1.02"/>
    <d v="2025-03-28T00:00:00"/>
  </r>
  <r>
    <s v="S417"/>
    <s v="GC_02"/>
    <n v="3.87"/>
    <n v="9985"/>
    <n v="1"/>
    <d v="2025-03-25T00:00:00"/>
  </r>
  <r>
    <s v="S418"/>
    <s v="HPLC_01"/>
    <n v="5.14"/>
    <n v="10158"/>
    <n v="1.02"/>
    <d v="2025-03-19T00:00:00"/>
  </r>
  <r>
    <s v="S419"/>
    <s v="HPLC_01"/>
    <n v="5.4"/>
    <n v="10745"/>
    <n v="1.07"/>
    <d v="2025-01-11T00:00:00"/>
  </r>
  <r>
    <s v="S420"/>
    <s v="HPLC_01"/>
    <n v="5.17"/>
    <n v="10697"/>
    <n v="1.07"/>
    <d v="2025-01-11T00:00:00"/>
  </r>
  <r>
    <s v="S421"/>
    <s v="HPLC_01"/>
    <n v="5.07"/>
    <n v="10697"/>
    <n v="1.07"/>
    <d v="2025-03-19T00:00:00"/>
  </r>
  <r>
    <s v="S422"/>
    <s v="HPLC_01"/>
    <n v="5.33"/>
    <n v="10075"/>
    <n v="1.01"/>
    <d v="2025-02-28T00:00:00"/>
  </r>
  <r>
    <s v="S423"/>
    <s v="GC_02"/>
    <n v="3.81"/>
    <n v="9778"/>
    <n v="0.98"/>
    <d v="2025-01-05T00:00:00"/>
  </r>
  <r>
    <s v="S424"/>
    <s v="HPLC_01"/>
    <n v="5.4"/>
    <n v="10285"/>
    <n v="1.03"/>
    <d v="2025-01-26T00:00:00"/>
  </r>
  <r>
    <s v="S425"/>
    <s v="HPLC_01"/>
    <n v="5.18"/>
    <n v="10058"/>
    <n v="1.01"/>
    <d v="2025-03-25T00:00:00"/>
  </r>
  <r>
    <s v="S426"/>
    <s v="HPLC_01"/>
    <n v="5.01"/>
    <n v="10465"/>
    <n v="1.05"/>
    <d v="2025-01-23T00:00:00"/>
  </r>
  <r>
    <s v="S427"/>
    <s v="HPLC_01"/>
    <n v="5.13"/>
    <n v="10276"/>
    <n v="1.03"/>
    <d v="2025-03-29T00:00:00"/>
  </r>
  <r>
    <s v="S428"/>
    <s v="HPLC_01"/>
    <n v="5.41"/>
    <n v="10150"/>
    <n v="1.02"/>
    <d v="2025-01-17T00:00:00"/>
  </r>
  <r>
    <s v="S429"/>
    <s v="GC_02"/>
    <n v="3.87"/>
    <n v="10123"/>
    <n v="1.01"/>
    <d v="2025-01-07T00:00:00"/>
  </r>
  <r>
    <s v="S430"/>
    <s v="HPLC_01"/>
    <n v="5.42"/>
    <n v="10468"/>
    <n v="1.05"/>
    <d v="2025-03-22T00:00:00"/>
  </r>
  <r>
    <s v="S431"/>
    <s v="GC_02"/>
    <n v="3.73"/>
    <n v="9912"/>
    <n v="0.99"/>
    <d v="2025-03-12T00:00:00"/>
  </r>
  <r>
    <s v="S432"/>
    <s v="HPLC_01"/>
    <n v="5.27"/>
    <n v="10131"/>
    <n v="1.01"/>
    <d v="2025-02-01T00:00:00"/>
  </r>
  <r>
    <s v="S433"/>
    <s v="HPLC_01"/>
    <n v="5.25"/>
    <n v="10424"/>
    <n v="1.04"/>
    <d v="2025-02-21T00:00:00"/>
  </r>
  <r>
    <s v="S434"/>
    <s v="GC_02"/>
    <n v="3.53"/>
    <n v="10034"/>
    <n v="1"/>
    <d v="2025-01-24T00:00:00"/>
  </r>
  <r>
    <s v="S435"/>
    <s v="GC_02"/>
    <n v="3.83"/>
    <n v="10060"/>
    <n v="1.01"/>
    <d v="2025-03-23T00:00:00"/>
  </r>
  <r>
    <s v="S436"/>
    <s v="GC_02"/>
    <n v="3.72"/>
    <n v="9989"/>
    <n v="1"/>
    <d v="2025-01-09T00:00:00"/>
  </r>
  <r>
    <s v="S437"/>
    <s v="HPLC_01"/>
    <n v="5.33"/>
    <n v="10420"/>
    <n v="1.04"/>
    <d v="2025-02-25T00:00:00"/>
  </r>
  <r>
    <s v="S438"/>
    <s v="HPLC_01"/>
    <n v="5.4"/>
    <n v="10257"/>
    <n v="1.03"/>
    <d v="2025-03-19T00:00:00"/>
  </r>
  <r>
    <s v="S439"/>
    <s v="GC_02"/>
    <n v="3.74"/>
    <n v="9593"/>
    <n v="0.96"/>
    <d v="2025-02-04T00:00:00"/>
  </r>
  <r>
    <s v="S440"/>
    <s v="HPLC_01"/>
    <n v="5.48"/>
    <n v="10718"/>
    <n v="1.07"/>
    <d v="2025-02-10T00:00:00"/>
  </r>
  <r>
    <s v="S441"/>
    <s v="HPLC_01"/>
    <n v="5.49"/>
    <n v="10052"/>
    <n v="1.01"/>
    <d v="2025-02-16T00:00:00"/>
  </r>
  <r>
    <s v="S442"/>
    <s v="GC_02"/>
    <n v="3.89"/>
    <n v="9905"/>
    <n v="0.99"/>
    <d v="2025-01-09T00:00:00"/>
  </r>
  <r>
    <s v="S443"/>
    <s v="HPLC_01"/>
    <n v="5.42"/>
    <n v="10177"/>
    <n v="1.02"/>
    <d v="2025-03-04T00:00:00"/>
  </r>
  <r>
    <s v="S444"/>
    <s v="HPLC_01"/>
    <n v="5.0199999999999996"/>
    <n v="10385"/>
    <n v="1.04"/>
    <d v="2025-03-27T00:00:00"/>
  </r>
  <r>
    <s v="S445"/>
    <s v="GC_02"/>
    <n v="3.85"/>
    <n v="10028"/>
    <n v="1"/>
    <d v="2025-03-22T00:00:00"/>
  </r>
  <r>
    <s v="S446"/>
    <s v="GC_02"/>
    <n v="3.61"/>
    <n v="9607"/>
    <n v="0.96"/>
    <d v="2025-02-17T00:00:00"/>
  </r>
  <r>
    <s v="S447"/>
    <s v="GC_02"/>
    <n v="3.66"/>
    <n v="10050"/>
    <n v="1.01"/>
    <d v="2025-01-22T00:00:00"/>
  </r>
  <r>
    <s v="S448"/>
    <s v="HPLC_01"/>
    <n v="5.36"/>
    <n v="10455"/>
    <n v="1.05"/>
    <d v="2025-01-16T00:00:00"/>
  </r>
  <r>
    <s v="S449"/>
    <s v="HPLC_01"/>
    <n v="5.16"/>
    <n v="10043"/>
    <n v="1"/>
    <d v="2025-03-1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98F64-5F30-8E40-8F8F-DBF7C10315C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" firstHeaderRow="0" firstDataRow="1" firstDataCol="0"/>
  <pivotFields count="6"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Sample_ID" fld="0" subtotal="count" baseField="0" baseItem="0"/>
    <dataField name="Count of Instrument_ID" fld="1" subtotal="count" baseField="0" baseItem="0"/>
    <dataField name="Count of Retention_Time (min)" fld="2" subtotal="count" baseField="0" baseItem="0"/>
    <dataField name="Count of Peak_Area" fld="3" subtotal="count" baseField="0" baseItem="0"/>
    <dataField name="Count of Concentration (mg/L)" fld="4" subtotal="count" baseField="0" baseItem="0"/>
    <dataField name="Count of Run_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AF36-5240-574D-9FBA-17DD7B4BB535}">
  <dimension ref="A3:F4"/>
  <sheetViews>
    <sheetView workbookViewId="0">
      <selection activeCell="B10" sqref="B10"/>
    </sheetView>
  </sheetViews>
  <sheetFormatPr baseColWidth="10" defaultRowHeight="16" x14ac:dyDescent="0.2"/>
  <cols>
    <col min="1" max="1" width="17.5" bestFit="1" customWidth="1"/>
    <col min="2" max="2" width="20.5" bestFit="1" customWidth="1"/>
    <col min="3" max="3" width="26.6640625" bestFit="1" customWidth="1"/>
    <col min="4" max="4" width="17.5" bestFit="1" customWidth="1"/>
    <col min="5" max="5" width="26.83203125" bestFit="1" customWidth="1"/>
    <col min="6" max="6" width="16.6640625" bestFit="1" customWidth="1"/>
  </cols>
  <sheetData>
    <row r="3" spans="1:6" x14ac:dyDescent="0.2">
      <c r="A3" t="s">
        <v>455</v>
      </c>
      <c r="B3" t="s">
        <v>456</v>
      </c>
      <c r="C3" t="s">
        <v>457</v>
      </c>
      <c r="D3" t="s">
        <v>458</v>
      </c>
      <c r="E3" t="s">
        <v>459</v>
      </c>
      <c r="F3" t="s">
        <v>460</v>
      </c>
    </row>
    <row r="4" spans="1:6" x14ac:dyDescent="0.2">
      <c r="A4">
        <v>449</v>
      </c>
      <c r="B4">
        <v>449</v>
      </c>
      <c r="C4">
        <v>449</v>
      </c>
      <c r="D4">
        <v>449</v>
      </c>
      <c r="E4">
        <v>449</v>
      </c>
      <c r="F4">
        <v>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A09F-4DD1-1E45-8804-E8D8B40625BD}">
  <dimension ref="A1:G450"/>
  <sheetViews>
    <sheetView tabSelected="1" workbookViewId="0">
      <selection activeCell="E2" sqref="E2:E450"/>
    </sheetView>
  </sheetViews>
  <sheetFormatPr baseColWidth="10" defaultRowHeight="16" x14ac:dyDescent="0.2"/>
  <cols>
    <col min="2" max="2" width="12.6640625" bestFit="1" customWidth="1"/>
    <col min="3" max="3" width="18.6640625" bestFit="1" customWidth="1"/>
    <col min="5" max="5" width="13.6640625" bestFit="1" customWidth="1"/>
    <col min="6" max="6" width="18.6640625" bestFit="1" customWidth="1"/>
    <col min="7" max="7" width="10.5" bestFit="1" customWidth="1"/>
  </cols>
  <sheetData>
    <row r="1" spans="1:7" x14ac:dyDescent="0.2">
      <c r="A1" t="s">
        <v>0</v>
      </c>
      <c r="B1" t="s">
        <v>1</v>
      </c>
      <c r="C1" t="s">
        <v>462</v>
      </c>
      <c r="D1" t="s">
        <v>2</v>
      </c>
      <c r="E1" t="s">
        <v>461</v>
      </c>
      <c r="F1" t="s">
        <v>463</v>
      </c>
      <c r="G1" s="1" t="s">
        <v>3</v>
      </c>
    </row>
    <row r="2" spans="1:7" x14ac:dyDescent="0.2">
      <c r="A2" t="s">
        <v>4</v>
      </c>
      <c r="B2" t="s">
        <v>5</v>
      </c>
      <c r="C2">
        <v>5.2</v>
      </c>
      <c r="D2">
        <v>10450</v>
      </c>
      <c r="E2">
        <f ca="1">MAX(0.03, 0.03 + 0.015 * C2 + _xlfn.NORM.S.INV(RAND()) * 0.01)</f>
        <v>0.10690100835950962</v>
      </c>
      <c r="F2">
        <v>1</v>
      </c>
      <c r="G2" s="1">
        <v>45659</v>
      </c>
    </row>
    <row r="3" spans="1:7" x14ac:dyDescent="0.2">
      <c r="A3" t="s">
        <v>6</v>
      </c>
      <c r="B3" t="s">
        <v>5</v>
      </c>
      <c r="C3">
        <v>5.3</v>
      </c>
      <c r="D3">
        <v>10620</v>
      </c>
      <c r="E3">
        <f t="shared" ref="E3:E66" ca="1" si="0">MAX(0.03, 0.03 + 0.015 * C3 + _xlfn.NORM.S.INV(RAND()) * 0.01)</f>
        <v>0.11282212630010628</v>
      </c>
      <c r="F3">
        <v>1.02</v>
      </c>
      <c r="G3" s="1">
        <v>45660</v>
      </c>
    </row>
    <row r="4" spans="1:7" x14ac:dyDescent="0.2">
      <c r="A4" t="s">
        <v>7</v>
      </c>
      <c r="B4" t="s">
        <v>8</v>
      </c>
      <c r="C4">
        <v>3.8</v>
      </c>
      <c r="D4">
        <v>9850</v>
      </c>
      <c r="E4">
        <f t="shared" ca="1" si="0"/>
        <v>8.3104763255917743E-2</v>
      </c>
      <c r="F4">
        <v>0.98</v>
      </c>
      <c r="G4" s="1">
        <v>45660</v>
      </c>
    </row>
    <row r="5" spans="1:7" x14ac:dyDescent="0.2">
      <c r="A5" t="s">
        <v>9</v>
      </c>
      <c r="B5" t="str">
        <f ca="1">IF(RAND()&lt;0.5, "HPLC_01", "GC_02")</f>
        <v>HPLC_01</v>
      </c>
      <c r="C5">
        <f ca="1">IF(B5="HPLC_01",ROUND(5+RAND()*0.5,2),ROUND(3.5+RAND()*0.4,2))</f>
        <v>5.28</v>
      </c>
      <c r="D5">
        <f ca="1">IF(B5="HPLC_01",ROUND(10000+RAND()*800,0),ROUND(9500+RAND()*700,0))</f>
        <v>10457</v>
      </c>
      <c r="E5">
        <f t="shared" ca="1" si="0"/>
        <v>0.10721080009793052</v>
      </c>
      <c r="F5">
        <f ca="1">ROUND(D5/10000,2)</f>
        <v>1.05</v>
      </c>
      <c r="G5" s="2">
        <f ca="1">DATE(2025,1,1)+RANDBETWEEN(0,90)</f>
        <v>45716</v>
      </c>
    </row>
    <row r="6" spans="1:7" x14ac:dyDescent="0.2">
      <c r="A6" t="s">
        <v>10</v>
      </c>
      <c r="B6" t="str">
        <f t="shared" ref="B6:B69" ca="1" si="1">IF(RAND()&lt;0.5, "HPLC_01", "GC_02")</f>
        <v>HPLC_01</v>
      </c>
      <c r="C6">
        <f t="shared" ref="C6:C69" ca="1" si="2">IF(B6="HPLC_01",ROUND(5+RAND()*0.5,2),ROUND(3.5+RAND()*0.4,2))</f>
        <v>5.1100000000000003</v>
      </c>
      <c r="D6">
        <f t="shared" ref="D6:D69" ca="1" si="3">IF(B6="HPLC_01",ROUND(10000+RAND()*800,0),ROUND(9500+RAND()*700,0))</f>
        <v>10146</v>
      </c>
      <c r="E6">
        <f t="shared" ca="1" si="0"/>
        <v>0.10278925955292434</v>
      </c>
      <c r="F6">
        <f t="shared" ref="F6:F69" ca="1" si="4">ROUND(D6/10000,2)</f>
        <v>1.01</v>
      </c>
      <c r="G6" s="2">
        <f t="shared" ref="G6:G69" ca="1" si="5">DATE(2025,1,1)+RANDBETWEEN(0,90)</f>
        <v>45708</v>
      </c>
    </row>
    <row r="7" spans="1:7" x14ac:dyDescent="0.2">
      <c r="A7" t="s">
        <v>11</v>
      </c>
      <c r="B7" t="str">
        <f t="shared" ca="1" si="1"/>
        <v>HPLC_01</v>
      </c>
      <c r="C7">
        <f t="shared" ca="1" si="2"/>
        <v>5.13</v>
      </c>
      <c r="D7">
        <f t="shared" ca="1" si="3"/>
        <v>10157</v>
      </c>
      <c r="E7">
        <f t="shared" ca="1" si="0"/>
        <v>0.11034875129087385</v>
      </c>
      <c r="F7">
        <f t="shared" ca="1" si="4"/>
        <v>1.02</v>
      </c>
      <c r="G7" s="2">
        <f t="shared" ca="1" si="5"/>
        <v>45708</v>
      </c>
    </row>
    <row r="8" spans="1:7" x14ac:dyDescent="0.2">
      <c r="A8" t="s">
        <v>12</v>
      </c>
      <c r="B8" t="str">
        <f t="shared" ca="1" si="1"/>
        <v>GC_02</v>
      </c>
      <c r="C8">
        <f t="shared" ca="1" si="2"/>
        <v>3.87</v>
      </c>
      <c r="D8">
        <f t="shared" ca="1" si="3"/>
        <v>9993</v>
      </c>
      <c r="E8">
        <f t="shared" ca="1" si="0"/>
        <v>8.9342636962238986E-2</v>
      </c>
      <c r="F8">
        <f t="shared" ca="1" si="4"/>
        <v>1</v>
      </c>
      <c r="G8" s="2">
        <f t="shared" ca="1" si="5"/>
        <v>45745</v>
      </c>
    </row>
    <row r="9" spans="1:7" x14ac:dyDescent="0.2">
      <c r="A9" t="s">
        <v>13</v>
      </c>
      <c r="B9" t="str">
        <f t="shared" ca="1" si="1"/>
        <v>GC_02</v>
      </c>
      <c r="C9">
        <f t="shared" ca="1" si="2"/>
        <v>3.67</v>
      </c>
      <c r="D9">
        <f t="shared" ca="1" si="3"/>
        <v>9620</v>
      </c>
      <c r="E9">
        <f t="shared" ca="1" si="0"/>
        <v>8.6635610230061041E-2</v>
      </c>
      <c r="F9">
        <f t="shared" ca="1" si="4"/>
        <v>0.96</v>
      </c>
      <c r="G9" s="2">
        <f t="shared" ca="1" si="5"/>
        <v>45707</v>
      </c>
    </row>
    <row r="10" spans="1:7" x14ac:dyDescent="0.2">
      <c r="A10" t="s">
        <v>14</v>
      </c>
      <c r="B10" t="str">
        <f t="shared" ca="1" si="1"/>
        <v>HPLC_01</v>
      </c>
      <c r="C10">
        <f t="shared" ca="1" si="2"/>
        <v>5.31</v>
      </c>
      <c r="D10">
        <f t="shared" ca="1" si="3"/>
        <v>10183</v>
      </c>
      <c r="E10">
        <f t="shared" ca="1" si="0"/>
        <v>0.10865429029700073</v>
      </c>
      <c r="F10">
        <f t="shared" ca="1" si="4"/>
        <v>1.02</v>
      </c>
      <c r="G10" s="2">
        <f t="shared" ca="1" si="5"/>
        <v>45663</v>
      </c>
    </row>
    <row r="11" spans="1:7" x14ac:dyDescent="0.2">
      <c r="A11" t="s">
        <v>15</v>
      </c>
      <c r="B11" t="str">
        <f t="shared" ca="1" si="1"/>
        <v>GC_02</v>
      </c>
      <c r="C11">
        <f t="shared" ca="1" si="2"/>
        <v>3.73</v>
      </c>
      <c r="D11">
        <f t="shared" ca="1" si="3"/>
        <v>10103</v>
      </c>
      <c r="E11">
        <f t="shared" ca="1" si="0"/>
        <v>0.10550017491776012</v>
      </c>
      <c r="F11">
        <f t="shared" ca="1" si="4"/>
        <v>1.01</v>
      </c>
      <c r="G11" s="2">
        <f t="shared" ca="1" si="5"/>
        <v>45670</v>
      </c>
    </row>
    <row r="12" spans="1:7" x14ac:dyDescent="0.2">
      <c r="A12" t="s">
        <v>16</v>
      </c>
      <c r="B12" t="str">
        <f t="shared" ca="1" si="1"/>
        <v>HPLC_01</v>
      </c>
      <c r="C12">
        <f t="shared" ca="1" si="2"/>
        <v>5.48</v>
      </c>
      <c r="D12">
        <f t="shared" ca="1" si="3"/>
        <v>10463</v>
      </c>
      <c r="E12">
        <f t="shared" ca="1" si="0"/>
        <v>0.13250918391617517</v>
      </c>
      <c r="F12">
        <f t="shared" ca="1" si="4"/>
        <v>1.05</v>
      </c>
      <c r="G12" s="2">
        <f t="shared" ca="1" si="5"/>
        <v>45692</v>
      </c>
    </row>
    <row r="13" spans="1:7" x14ac:dyDescent="0.2">
      <c r="A13" t="s">
        <v>17</v>
      </c>
      <c r="B13" t="str">
        <f t="shared" ca="1" si="1"/>
        <v>GC_02</v>
      </c>
      <c r="C13">
        <f t="shared" ca="1" si="2"/>
        <v>3.51</v>
      </c>
      <c r="D13">
        <f t="shared" ca="1" si="3"/>
        <v>9778</v>
      </c>
      <c r="E13">
        <f t="shared" ca="1" si="0"/>
        <v>8.4875397566868724E-2</v>
      </c>
      <c r="F13">
        <f t="shared" ca="1" si="4"/>
        <v>0.98</v>
      </c>
      <c r="G13" s="2">
        <f t="shared" ca="1" si="5"/>
        <v>45711</v>
      </c>
    </row>
    <row r="14" spans="1:7" x14ac:dyDescent="0.2">
      <c r="A14" t="s">
        <v>18</v>
      </c>
      <c r="B14" t="str">
        <f t="shared" ca="1" si="1"/>
        <v>GC_02</v>
      </c>
      <c r="C14">
        <f t="shared" ca="1" si="2"/>
        <v>3.86</v>
      </c>
      <c r="D14">
        <f t="shared" ca="1" si="3"/>
        <v>9955</v>
      </c>
      <c r="E14">
        <f t="shared" ca="1" si="0"/>
        <v>9.3218547505948435E-2</v>
      </c>
      <c r="F14">
        <f t="shared" ca="1" si="4"/>
        <v>1</v>
      </c>
      <c r="G14" s="2">
        <f t="shared" ca="1" si="5"/>
        <v>45698</v>
      </c>
    </row>
    <row r="15" spans="1:7" x14ac:dyDescent="0.2">
      <c r="A15" t="s">
        <v>19</v>
      </c>
      <c r="B15" t="str">
        <f t="shared" ca="1" si="1"/>
        <v>HPLC_01</v>
      </c>
      <c r="C15">
        <f t="shared" ca="1" si="2"/>
        <v>5.36</v>
      </c>
      <c r="D15">
        <f t="shared" ca="1" si="3"/>
        <v>10220</v>
      </c>
      <c r="E15">
        <f t="shared" ca="1" si="0"/>
        <v>0.11149282600573666</v>
      </c>
      <c r="F15">
        <f t="shared" ca="1" si="4"/>
        <v>1.02</v>
      </c>
      <c r="G15" s="2">
        <f t="shared" ca="1" si="5"/>
        <v>45714</v>
      </c>
    </row>
    <row r="16" spans="1:7" x14ac:dyDescent="0.2">
      <c r="A16" t="s">
        <v>20</v>
      </c>
      <c r="B16" t="str">
        <f t="shared" ca="1" si="1"/>
        <v>HPLC_01</v>
      </c>
      <c r="C16">
        <f t="shared" ca="1" si="2"/>
        <v>5.14</v>
      </c>
      <c r="D16">
        <f t="shared" ca="1" si="3"/>
        <v>10776</v>
      </c>
      <c r="E16">
        <f t="shared" ca="1" si="0"/>
        <v>9.8351210231940545E-2</v>
      </c>
      <c r="F16">
        <f t="shared" ca="1" si="4"/>
        <v>1.08</v>
      </c>
      <c r="G16" s="2">
        <f t="shared" ca="1" si="5"/>
        <v>45721</v>
      </c>
    </row>
    <row r="17" spans="1:7" x14ac:dyDescent="0.2">
      <c r="A17" t="s">
        <v>21</v>
      </c>
      <c r="B17" t="str">
        <f t="shared" ca="1" si="1"/>
        <v>GC_02</v>
      </c>
      <c r="C17">
        <f t="shared" ca="1" si="2"/>
        <v>3.65</v>
      </c>
      <c r="D17">
        <f t="shared" ca="1" si="3"/>
        <v>10112</v>
      </c>
      <c r="E17">
        <f t="shared" ca="1" si="0"/>
        <v>6.5661513458583967E-2</v>
      </c>
      <c r="F17">
        <f t="shared" ca="1" si="4"/>
        <v>1.01</v>
      </c>
      <c r="G17" s="2">
        <f t="shared" ca="1" si="5"/>
        <v>45738</v>
      </c>
    </row>
    <row r="18" spans="1:7" x14ac:dyDescent="0.2">
      <c r="A18" t="s">
        <v>22</v>
      </c>
      <c r="B18" t="str">
        <f t="shared" ca="1" si="1"/>
        <v>GC_02</v>
      </c>
      <c r="C18">
        <f t="shared" ca="1" si="2"/>
        <v>3.68</v>
      </c>
      <c r="D18">
        <f t="shared" ca="1" si="3"/>
        <v>10154</v>
      </c>
      <c r="E18">
        <f t="shared" ca="1" si="0"/>
        <v>6.9132578770961156E-2</v>
      </c>
      <c r="F18">
        <f t="shared" ca="1" si="4"/>
        <v>1.02</v>
      </c>
      <c r="G18" s="2">
        <f t="shared" ca="1" si="5"/>
        <v>45712</v>
      </c>
    </row>
    <row r="19" spans="1:7" x14ac:dyDescent="0.2">
      <c r="A19" t="s">
        <v>23</v>
      </c>
      <c r="B19" t="str">
        <f t="shared" ca="1" si="1"/>
        <v>GC_02</v>
      </c>
      <c r="C19">
        <f t="shared" ca="1" si="2"/>
        <v>3.62</v>
      </c>
      <c r="D19">
        <f t="shared" ca="1" si="3"/>
        <v>9995</v>
      </c>
      <c r="E19">
        <f t="shared" ca="1" si="0"/>
        <v>7.6406909978534027E-2</v>
      </c>
      <c r="F19">
        <f t="shared" ca="1" si="4"/>
        <v>1</v>
      </c>
      <c r="G19" s="2">
        <f t="shared" ca="1" si="5"/>
        <v>45673</v>
      </c>
    </row>
    <row r="20" spans="1:7" x14ac:dyDescent="0.2">
      <c r="A20" t="s">
        <v>24</v>
      </c>
      <c r="B20" t="str">
        <f t="shared" ca="1" si="1"/>
        <v>HPLC_01</v>
      </c>
      <c r="C20">
        <f t="shared" ca="1" si="2"/>
        <v>5.45</v>
      </c>
      <c r="D20">
        <f t="shared" ca="1" si="3"/>
        <v>10669</v>
      </c>
      <c r="E20">
        <f t="shared" ca="1" si="0"/>
        <v>0.10967398702760885</v>
      </c>
      <c r="F20">
        <f t="shared" ca="1" si="4"/>
        <v>1.07</v>
      </c>
      <c r="G20" s="2">
        <f t="shared" ca="1" si="5"/>
        <v>45738</v>
      </c>
    </row>
    <row r="21" spans="1:7" x14ac:dyDescent="0.2">
      <c r="A21" t="s">
        <v>25</v>
      </c>
      <c r="B21" t="str">
        <f t="shared" ca="1" si="1"/>
        <v>GC_02</v>
      </c>
      <c r="C21">
        <f t="shared" ca="1" si="2"/>
        <v>3.67</v>
      </c>
      <c r="D21">
        <f t="shared" ca="1" si="3"/>
        <v>9701</v>
      </c>
      <c r="E21">
        <f t="shared" ca="1" si="0"/>
        <v>7.7519454792443168E-2</v>
      </c>
      <c r="F21">
        <f t="shared" ca="1" si="4"/>
        <v>0.97</v>
      </c>
      <c r="G21" s="2">
        <f t="shared" ca="1" si="5"/>
        <v>45692</v>
      </c>
    </row>
    <row r="22" spans="1:7" x14ac:dyDescent="0.2">
      <c r="A22" t="s">
        <v>26</v>
      </c>
      <c r="B22" t="str">
        <f t="shared" ca="1" si="1"/>
        <v>GC_02</v>
      </c>
      <c r="C22">
        <f t="shared" ca="1" si="2"/>
        <v>3.64</v>
      </c>
      <c r="D22">
        <f t="shared" ca="1" si="3"/>
        <v>9913</v>
      </c>
      <c r="E22">
        <f t="shared" ca="1" si="0"/>
        <v>9.8689229733239764E-2</v>
      </c>
      <c r="F22">
        <f t="shared" ca="1" si="4"/>
        <v>0.99</v>
      </c>
      <c r="G22" s="2">
        <f t="shared" ca="1" si="5"/>
        <v>45695</v>
      </c>
    </row>
    <row r="23" spans="1:7" x14ac:dyDescent="0.2">
      <c r="A23" t="s">
        <v>27</v>
      </c>
      <c r="B23" t="str">
        <f t="shared" ca="1" si="1"/>
        <v>HPLC_01</v>
      </c>
      <c r="C23">
        <f t="shared" ca="1" si="2"/>
        <v>5.26</v>
      </c>
      <c r="D23">
        <f t="shared" ca="1" si="3"/>
        <v>10063</v>
      </c>
      <c r="E23">
        <f t="shared" ca="1" si="0"/>
        <v>0.11821134170609031</v>
      </c>
      <c r="F23">
        <f t="shared" ca="1" si="4"/>
        <v>1.01</v>
      </c>
      <c r="G23" s="2">
        <f t="shared" ca="1" si="5"/>
        <v>45730</v>
      </c>
    </row>
    <row r="24" spans="1:7" x14ac:dyDescent="0.2">
      <c r="A24" t="s">
        <v>28</v>
      </c>
      <c r="B24" t="str">
        <f t="shared" ca="1" si="1"/>
        <v>GC_02</v>
      </c>
      <c r="C24">
        <f t="shared" ca="1" si="2"/>
        <v>3.62</v>
      </c>
      <c r="D24">
        <f t="shared" ca="1" si="3"/>
        <v>9513</v>
      </c>
      <c r="E24">
        <f t="shared" ca="1" si="0"/>
        <v>8.5168664397748589E-2</v>
      </c>
      <c r="F24">
        <f t="shared" ca="1" si="4"/>
        <v>0.95</v>
      </c>
      <c r="G24" s="2">
        <f t="shared" ca="1" si="5"/>
        <v>45677</v>
      </c>
    </row>
    <row r="25" spans="1:7" x14ac:dyDescent="0.2">
      <c r="A25" t="s">
        <v>29</v>
      </c>
      <c r="B25" t="str">
        <f t="shared" ca="1" si="1"/>
        <v>HPLC_01</v>
      </c>
      <c r="C25">
        <f t="shared" ca="1" si="2"/>
        <v>5.48</v>
      </c>
      <c r="D25">
        <f t="shared" ca="1" si="3"/>
        <v>10310</v>
      </c>
      <c r="E25">
        <f t="shared" ca="1" si="0"/>
        <v>0.1165676911787096</v>
      </c>
      <c r="F25">
        <f t="shared" ca="1" si="4"/>
        <v>1.03</v>
      </c>
      <c r="G25" s="2">
        <f t="shared" ca="1" si="5"/>
        <v>45664</v>
      </c>
    </row>
    <row r="26" spans="1:7" x14ac:dyDescent="0.2">
      <c r="A26" t="s">
        <v>30</v>
      </c>
      <c r="B26" t="str">
        <f t="shared" ca="1" si="1"/>
        <v>HPLC_01</v>
      </c>
      <c r="C26">
        <f t="shared" ca="1" si="2"/>
        <v>5.29</v>
      </c>
      <c r="D26">
        <f t="shared" ca="1" si="3"/>
        <v>10227</v>
      </c>
      <c r="E26">
        <f t="shared" ca="1" si="0"/>
        <v>0.10309240005812105</v>
      </c>
      <c r="F26">
        <f t="shared" ca="1" si="4"/>
        <v>1.02</v>
      </c>
      <c r="G26" s="2">
        <f t="shared" ca="1" si="5"/>
        <v>45731</v>
      </c>
    </row>
    <row r="27" spans="1:7" x14ac:dyDescent="0.2">
      <c r="A27" t="s">
        <v>31</v>
      </c>
      <c r="B27" t="str">
        <f t="shared" ca="1" si="1"/>
        <v>GC_02</v>
      </c>
      <c r="C27">
        <f t="shared" ca="1" si="2"/>
        <v>3.5</v>
      </c>
      <c r="D27">
        <f t="shared" ca="1" si="3"/>
        <v>9525</v>
      </c>
      <c r="E27">
        <f t="shared" ca="1" si="0"/>
        <v>8.85216844021917E-2</v>
      </c>
      <c r="F27">
        <f t="shared" ca="1" si="4"/>
        <v>0.95</v>
      </c>
      <c r="G27" s="2">
        <f t="shared" ca="1" si="5"/>
        <v>45701</v>
      </c>
    </row>
    <row r="28" spans="1:7" x14ac:dyDescent="0.2">
      <c r="A28" t="s">
        <v>32</v>
      </c>
      <c r="B28" t="str">
        <f t="shared" ca="1" si="1"/>
        <v>GC_02</v>
      </c>
      <c r="C28">
        <f t="shared" ca="1" si="2"/>
        <v>3.87</v>
      </c>
      <c r="D28">
        <f t="shared" ca="1" si="3"/>
        <v>9593</v>
      </c>
      <c r="E28">
        <f t="shared" ca="1" si="0"/>
        <v>9.1779433507691882E-2</v>
      </c>
      <c r="F28">
        <f t="shared" ca="1" si="4"/>
        <v>0.96</v>
      </c>
      <c r="G28" s="2">
        <f t="shared" ca="1" si="5"/>
        <v>45660</v>
      </c>
    </row>
    <row r="29" spans="1:7" x14ac:dyDescent="0.2">
      <c r="A29" t="s">
        <v>33</v>
      </c>
      <c r="B29" t="str">
        <f t="shared" ca="1" si="1"/>
        <v>GC_02</v>
      </c>
      <c r="C29">
        <f t="shared" ca="1" si="2"/>
        <v>3.6</v>
      </c>
      <c r="D29">
        <f t="shared" ca="1" si="3"/>
        <v>9682</v>
      </c>
      <c r="E29">
        <f t="shared" ca="1" si="0"/>
        <v>9.2705320746381992E-2</v>
      </c>
      <c r="F29">
        <f t="shared" ca="1" si="4"/>
        <v>0.97</v>
      </c>
      <c r="G29" s="2">
        <f t="shared" ca="1" si="5"/>
        <v>45720</v>
      </c>
    </row>
    <row r="30" spans="1:7" x14ac:dyDescent="0.2">
      <c r="A30" t="s">
        <v>34</v>
      </c>
      <c r="B30" t="str">
        <f t="shared" ca="1" si="1"/>
        <v>GC_02</v>
      </c>
      <c r="C30">
        <f t="shared" ca="1" si="2"/>
        <v>3.88</v>
      </c>
      <c r="D30">
        <f t="shared" ca="1" si="3"/>
        <v>10070</v>
      </c>
      <c r="E30">
        <f t="shared" ca="1" si="0"/>
        <v>0.10949521496967671</v>
      </c>
      <c r="F30">
        <f t="shared" ca="1" si="4"/>
        <v>1.01</v>
      </c>
      <c r="G30" s="2">
        <f t="shared" ca="1" si="5"/>
        <v>45698</v>
      </c>
    </row>
    <row r="31" spans="1:7" x14ac:dyDescent="0.2">
      <c r="A31" t="s">
        <v>35</v>
      </c>
      <c r="B31" t="str">
        <f t="shared" ca="1" si="1"/>
        <v>HPLC_01</v>
      </c>
      <c r="C31">
        <f t="shared" ca="1" si="2"/>
        <v>5.07</v>
      </c>
      <c r="D31">
        <f t="shared" ca="1" si="3"/>
        <v>10366</v>
      </c>
      <c r="E31">
        <f t="shared" ca="1" si="0"/>
        <v>9.7888196028772467E-2</v>
      </c>
      <c r="F31">
        <f t="shared" ca="1" si="4"/>
        <v>1.04</v>
      </c>
      <c r="G31" s="2">
        <f t="shared" ca="1" si="5"/>
        <v>45729</v>
      </c>
    </row>
    <row r="32" spans="1:7" x14ac:dyDescent="0.2">
      <c r="A32" t="s">
        <v>36</v>
      </c>
      <c r="B32" t="str">
        <f t="shared" ca="1" si="1"/>
        <v>HPLC_01</v>
      </c>
      <c r="C32">
        <f t="shared" ca="1" si="2"/>
        <v>5.36</v>
      </c>
      <c r="D32">
        <f t="shared" ca="1" si="3"/>
        <v>10086</v>
      </c>
      <c r="E32">
        <f t="shared" ca="1" si="0"/>
        <v>0.10615677787911898</v>
      </c>
      <c r="F32">
        <f t="shared" ca="1" si="4"/>
        <v>1.01</v>
      </c>
      <c r="G32" s="2">
        <f t="shared" ca="1" si="5"/>
        <v>45723</v>
      </c>
    </row>
    <row r="33" spans="1:7" x14ac:dyDescent="0.2">
      <c r="A33" t="s">
        <v>37</v>
      </c>
      <c r="B33" t="str">
        <f t="shared" ca="1" si="1"/>
        <v>HPLC_01</v>
      </c>
      <c r="C33">
        <f t="shared" ca="1" si="2"/>
        <v>5.46</v>
      </c>
      <c r="D33">
        <f t="shared" ca="1" si="3"/>
        <v>10371</v>
      </c>
      <c r="E33">
        <f t="shared" ca="1" si="0"/>
        <v>0.11833939487536448</v>
      </c>
      <c r="F33">
        <f t="shared" ca="1" si="4"/>
        <v>1.04</v>
      </c>
      <c r="G33" s="2">
        <f t="shared" ca="1" si="5"/>
        <v>45668</v>
      </c>
    </row>
    <row r="34" spans="1:7" x14ac:dyDescent="0.2">
      <c r="A34" t="s">
        <v>38</v>
      </c>
      <c r="B34" t="str">
        <f t="shared" ca="1" si="1"/>
        <v>HPLC_01</v>
      </c>
      <c r="C34">
        <f t="shared" ca="1" si="2"/>
        <v>5.08</v>
      </c>
      <c r="D34">
        <f t="shared" ca="1" si="3"/>
        <v>10403</v>
      </c>
      <c r="E34">
        <f t="shared" ca="1" si="0"/>
        <v>9.9565549635964146E-2</v>
      </c>
      <c r="F34">
        <f t="shared" ca="1" si="4"/>
        <v>1.04</v>
      </c>
      <c r="G34" s="2">
        <f t="shared" ca="1" si="5"/>
        <v>45678</v>
      </c>
    </row>
    <row r="35" spans="1:7" x14ac:dyDescent="0.2">
      <c r="A35" t="s">
        <v>39</v>
      </c>
      <c r="B35" t="str">
        <f t="shared" ca="1" si="1"/>
        <v>HPLC_01</v>
      </c>
      <c r="C35">
        <f t="shared" ca="1" si="2"/>
        <v>5.27</v>
      </c>
      <c r="D35">
        <f t="shared" ca="1" si="3"/>
        <v>10597</v>
      </c>
      <c r="E35">
        <f t="shared" ca="1" si="0"/>
        <v>0.13291293165714041</v>
      </c>
      <c r="F35">
        <f t="shared" ca="1" si="4"/>
        <v>1.06</v>
      </c>
      <c r="G35" s="2">
        <f t="shared" ca="1" si="5"/>
        <v>45728</v>
      </c>
    </row>
    <row r="36" spans="1:7" x14ac:dyDescent="0.2">
      <c r="A36" t="s">
        <v>40</v>
      </c>
      <c r="B36" t="str">
        <f t="shared" ca="1" si="1"/>
        <v>HPLC_01</v>
      </c>
      <c r="C36">
        <f t="shared" ca="1" si="2"/>
        <v>5.07</v>
      </c>
      <c r="D36">
        <f t="shared" ca="1" si="3"/>
        <v>10473</v>
      </c>
      <c r="E36">
        <f t="shared" ca="1" si="0"/>
        <v>9.8713725342353995E-2</v>
      </c>
      <c r="F36">
        <f t="shared" ca="1" si="4"/>
        <v>1.05</v>
      </c>
      <c r="G36" s="2">
        <f t="shared" ca="1" si="5"/>
        <v>45728</v>
      </c>
    </row>
    <row r="37" spans="1:7" x14ac:dyDescent="0.2">
      <c r="A37" t="s">
        <v>41</v>
      </c>
      <c r="B37" t="str">
        <f t="shared" ca="1" si="1"/>
        <v>GC_02</v>
      </c>
      <c r="C37">
        <f t="shared" ca="1" si="2"/>
        <v>3.75</v>
      </c>
      <c r="D37">
        <f t="shared" ca="1" si="3"/>
        <v>9820</v>
      </c>
      <c r="E37">
        <f t="shared" ca="1" si="0"/>
        <v>6.8198955411322468E-2</v>
      </c>
      <c r="F37">
        <f t="shared" ca="1" si="4"/>
        <v>0.98</v>
      </c>
      <c r="G37" s="2">
        <f t="shared" ca="1" si="5"/>
        <v>45689</v>
      </c>
    </row>
    <row r="38" spans="1:7" x14ac:dyDescent="0.2">
      <c r="A38" t="s">
        <v>42</v>
      </c>
      <c r="B38" t="str">
        <f t="shared" ca="1" si="1"/>
        <v>GC_02</v>
      </c>
      <c r="C38">
        <f t="shared" ca="1" si="2"/>
        <v>3.9</v>
      </c>
      <c r="D38">
        <f t="shared" ca="1" si="3"/>
        <v>9596</v>
      </c>
      <c r="E38">
        <f t="shared" ca="1" si="0"/>
        <v>9.252793938286126E-2</v>
      </c>
      <c r="F38">
        <f t="shared" ca="1" si="4"/>
        <v>0.96</v>
      </c>
      <c r="G38" s="2">
        <f t="shared" ca="1" si="5"/>
        <v>45681</v>
      </c>
    </row>
    <row r="39" spans="1:7" x14ac:dyDescent="0.2">
      <c r="A39" t="s">
        <v>43</v>
      </c>
      <c r="B39" t="str">
        <f t="shared" ca="1" si="1"/>
        <v>HPLC_01</v>
      </c>
      <c r="C39">
        <f t="shared" ca="1" si="2"/>
        <v>5</v>
      </c>
      <c r="D39">
        <f t="shared" ca="1" si="3"/>
        <v>10676</v>
      </c>
      <c r="E39">
        <f t="shared" ca="1" si="0"/>
        <v>0.10967704074545329</v>
      </c>
      <c r="F39">
        <f t="shared" ca="1" si="4"/>
        <v>1.07</v>
      </c>
      <c r="G39" s="2">
        <f t="shared" ca="1" si="5"/>
        <v>45712</v>
      </c>
    </row>
    <row r="40" spans="1:7" x14ac:dyDescent="0.2">
      <c r="A40" t="s">
        <v>44</v>
      </c>
      <c r="B40" t="str">
        <f t="shared" ca="1" si="1"/>
        <v>GC_02</v>
      </c>
      <c r="C40">
        <f t="shared" ca="1" si="2"/>
        <v>3.62</v>
      </c>
      <c r="D40">
        <f t="shared" ca="1" si="3"/>
        <v>10064</v>
      </c>
      <c r="E40">
        <f t="shared" ca="1" si="0"/>
        <v>7.7198285609068065E-2</v>
      </c>
      <c r="F40">
        <f t="shared" ca="1" si="4"/>
        <v>1.01</v>
      </c>
      <c r="G40" s="2">
        <f t="shared" ca="1" si="5"/>
        <v>45690</v>
      </c>
    </row>
    <row r="41" spans="1:7" x14ac:dyDescent="0.2">
      <c r="A41" t="s">
        <v>45</v>
      </c>
      <c r="B41" t="str">
        <f t="shared" ca="1" si="1"/>
        <v>GC_02</v>
      </c>
      <c r="C41">
        <f t="shared" ca="1" si="2"/>
        <v>3.65</v>
      </c>
      <c r="D41">
        <f t="shared" ca="1" si="3"/>
        <v>9663</v>
      </c>
      <c r="E41">
        <f t="shared" ca="1" si="0"/>
        <v>7.6304614517687025E-2</v>
      </c>
      <c r="F41">
        <f t="shared" ca="1" si="4"/>
        <v>0.97</v>
      </c>
      <c r="G41" s="2">
        <f t="shared" ca="1" si="5"/>
        <v>45741</v>
      </c>
    </row>
    <row r="42" spans="1:7" x14ac:dyDescent="0.2">
      <c r="A42" t="s">
        <v>46</v>
      </c>
      <c r="B42" t="str">
        <f t="shared" ca="1" si="1"/>
        <v>HPLC_01</v>
      </c>
      <c r="C42">
        <f t="shared" ca="1" si="2"/>
        <v>5.43</v>
      </c>
      <c r="D42">
        <f t="shared" ca="1" si="3"/>
        <v>10612</v>
      </c>
      <c r="E42">
        <f t="shared" ca="1" si="0"/>
        <v>9.8167934937892581E-2</v>
      </c>
      <c r="F42">
        <f t="shared" ca="1" si="4"/>
        <v>1.06</v>
      </c>
      <c r="G42" s="2">
        <f t="shared" ca="1" si="5"/>
        <v>45702</v>
      </c>
    </row>
    <row r="43" spans="1:7" x14ac:dyDescent="0.2">
      <c r="A43" t="s">
        <v>47</v>
      </c>
      <c r="B43" t="str">
        <f t="shared" ca="1" si="1"/>
        <v>GC_02</v>
      </c>
      <c r="C43">
        <f t="shared" ca="1" si="2"/>
        <v>3.79</v>
      </c>
      <c r="D43">
        <f t="shared" ca="1" si="3"/>
        <v>9536</v>
      </c>
      <c r="E43">
        <f t="shared" ca="1" si="0"/>
        <v>8.8214788020366502E-2</v>
      </c>
      <c r="F43">
        <f t="shared" ca="1" si="4"/>
        <v>0.95</v>
      </c>
      <c r="G43" s="2">
        <f t="shared" ca="1" si="5"/>
        <v>45707</v>
      </c>
    </row>
    <row r="44" spans="1:7" x14ac:dyDescent="0.2">
      <c r="A44" t="s">
        <v>48</v>
      </c>
      <c r="B44" t="str">
        <f t="shared" ca="1" si="1"/>
        <v>GC_02</v>
      </c>
      <c r="C44">
        <f t="shared" ca="1" si="2"/>
        <v>3.78</v>
      </c>
      <c r="D44">
        <f t="shared" ca="1" si="3"/>
        <v>9635</v>
      </c>
      <c r="E44">
        <f t="shared" ca="1" si="0"/>
        <v>0.10061260611633135</v>
      </c>
      <c r="F44">
        <f t="shared" ca="1" si="4"/>
        <v>0.96</v>
      </c>
      <c r="G44" s="2">
        <f t="shared" ca="1" si="5"/>
        <v>45683</v>
      </c>
    </row>
    <row r="45" spans="1:7" x14ac:dyDescent="0.2">
      <c r="A45" t="s">
        <v>49</v>
      </c>
      <c r="B45" t="str">
        <f t="shared" ca="1" si="1"/>
        <v>GC_02</v>
      </c>
      <c r="C45">
        <f t="shared" ca="1" si="2"/>
        <v>3.78</v>
      </c>
      <c r="D45">
        <f t="shared" ca="1" si="3"/>
        <v>10009</v>
      </c>
      <c r="E45">
        <f t="shared" ca="1" si="0"/>
        <v>8.8172292184591605E-2</v>
      </c>
      <c r="F45">
        <f t="shared" ca="1" si="4"/>
        <v>1</v>
      </c>
      <c r="G45" s="2">
        <f t="shared" ca="1" si="5"/>
        <v>45684</v>
      </c>
    </row>
    <row r="46" spans="1:7" x14ac:dyDescent="0.2">
      <c r="A46" t="s">
        <v>50</v>
      </c>
      <c r="B46" t="str">
        <f t="shared" ca="1" si="1"/>
        <v>HPLC_01</v>
      </c>
      <c r="C46">
        <f t="shared" ca="1" si="2"/>
        <v>5.0199999999999996</v>
      </c>
      <c r="D46">
        <f t="shared" ca="1" si="3"/>
        <v>10549</v>
      </c>
      <c r="E46">
        <f t="shared" ca="1" si="0"/>
        <v>9.9224716865768586E-2</v>
      </c>
      <c r="F46">
        <f t="shared" ca="1" si="4"/>
        <v>1.05</v>
      </c>
      <c r="G46" s="2">
        <f t="shared" ca="1" si="5"/>
        <v>45715</v>
      </c>
    </row>
    <row r="47" spans="1:7" x14ac:dyDescent="0.2">
      <c r="A47" t="s">
        <v>51</v>
      </c>
      <c r="B47" t="str">
        <f t="shared" ca="1" si="1"/>
        <v>GC_02</v>
      </c>
      <c r="C47">
        <f t="shared" ca="1" si="2"/>
        <v>3.63</v>
      </c>
      <c r="D47">
        <f t="shared" ca="1" si="3"/>
        <v>9906</v>
      </c>
      <c r="E47">
        <f t="shared" ca="1" si="0"/>
        <v>0.10282775766344963</v>
      </c>
      <c r="F47">
        <f t="shared" ca="1" si="4"/>
        <v>0.99</v>
      </c>
      <c r="G47" s="2">
        <f t="shared" ca="1" si="5"/>
        <v>45659</v>
      </c>
    </row>
    <row r="48" spans="1:7" x14ac:dyDescent="0.2">
      <c r="A48" t="s">
        <v>52</v>
      </c>
      <c r="B48" t="str">
        <f t="shared" ca="1" si="1"/>
        <v>GC_02</v>
      </c>
      <c r="C48">
        <f t="shared" ca="1" si="2"/>
        <v>3.83</v>
      </c>
      <c r="D48">
        <f t="shared" ca="1" si="3"/>
        <v>9781</v>
      </c>
      <c r="E48">
        <f t="shared" ca="1" si="0"/>
        <v>8.3882087224147125E-2</v>
      </c>
      <c r="F48">
        <f t="shared" ca="1" si="4"/>
        <v>0.98</v>
      </c>
      <c r="G48" s="2">
        <f t="shared" ca="1" si="5"/>
        <v>45744</v>
      </c>
    </row>
    <row r="49" spans="1:7" x14ac:dyDescent="0.2">
      <c r="A49" t="s">
        <v>53</v>
      </c>
      <c r="B49" t="str">
        <f t="shared" ca="1" si="1"/>
        <v>GC_02</v>
      </c>
      <c r="C49">
        <f t="shared" ca="1" si="2"/>
        <v>3.8</v>
      </c>
      <c r="D49">
        <f t="shared" ca="1" si="3"/>
        <v>9745</v>
      </c>
      <c r="E49">
        <f t="shared" ca="1" si="0"/>
        <v>8.4884468360154355E-2</v>
      </c>
      <c r="F49">
        <f t="shared" ca="1" si="4"/>
        <v>0.97</v>
      </c>
      <c r="G49" s="2">
        <f t="shared" ca="1" si="5"/>
        <v>45733</v>
      </c>
    </row>
    <row r="50" spans="1:7" x14ac:dyDescent="0.2">
      <c r="A50" t="s">
        <v>54</v>
      </c>
      <c r="B50" t="str">
        <f t="shared" ca="1" si="1"/>
        <v>GC_02</v>
      </c>
      <c r="C50">
        <f t="shared" ca="1" si="2"/>
        <v>3.77</v>
      </c>
      <c r="D50">
        <f t="shared" ca="1" si="3"/>
        <v>9679</v>
      </c>
      <c r="E50">
        <f t="shared" ca="1" si="0"/>
        <v>7.5532786118443898E-2</v>
      </c>
      <c r="F50">
        <f t="shared" ca="1" si="4"/>
        <v>0.97</v>
      </c>
      <c r="G50" s="2">
        <f t="shared" ca="1" si="5"/>
        <v>45744</v>
      </c>
    </row>
    <row r="51" spans="1:7" x14ac:dyDescent="0.2">
      <c r="A51" t="s">
        <v>55</v>
      </c>
      <c r="B51" t="str">
        <f t="shared" ca="1" si="1"/>
        <v>GC_02</v>
      </c>
      <c r="C51">
        <f t="shared" ca="1" si="2"/>
        <v>3.69</v>
      </c>
      <c r="D51">
        <f t="shared" ca="1" si="3"/>
        <v>9778</v>
      </c>
      <c r="E51">
        <f t="shared" ca="1" si="0"/>
        <v>0.10179607044255695</v>
      </c>
      <c r="F51">
        <f t="shared" ca="1" si="4"/>
        <v>0.98</v>
      </c>
      <c r="G51" s="2">
        <f t="shared" ca="1" si="5"/>
        <v>45733</v>
      </c>
    </row>
    <row r="52" spans="1:7" x14ac:dyDescent="0.2">
      <c r="A52" t="s">
        <v>56</v>
      </c>
      <c r="B52" t="str">
        <f t="shared" ca="1" si="1"/>
        <v>GC_02</v>
      </c>
      <c r="C52">
        <f t="shared" ca="1" si="2"/>
        <v>3.87</v>
      </c>
      <c r="D52">
        <f t="shared" ca="1" si="3"/>
        <v>10072</v>
      </c>
      <c r="E52">
        <f t="shared" ca="1" si="0"/>
        <v>8.0006548127787111E-2</v>
      </c>
      <c r="F52">
        <f t="shared" ca="1" si="4"/>
        <v>1.01</v>
      </c>
      <c r="G52" s="2">
        <f t="shared" ca="1" si="5"/>
        <v>45692</v>
      </c>
    </row>
    <row r="53" spans="1:7" x14ac:dyDescent="0.2">
      <c r="A53" t="s">
        <v>57</v>
      </c>
      <c r="B53" t="str">
        <f t="shared" ca="1" si="1"/>
        <v>HPLC_01</v>
      </c>
      <c r="C53">
        <f t="shared" ca="1" si="2"/>
        <v>5.21</v>
      </c>
      <c r="D53">
        <f t="shared" ca="1" si="3"/>
        <v>10450</v>
      </c>
      <c r="E53">
        <f t="shared" ca="1" si="0"/>
        <v>0.12270376309849512</v>
      </c>
      <c r="F53">
        <f t="shared" ca="1" si="4"/>
        <v>1.05</v>
      </c>
      <c r="G53" s="2">
        <f t="shared" ca="1" si="5"/>
        <v>45739</v>
      </c>
    </row>
    <row r="54" spans="1:7" x14ac:dyDescent="0.2">
      <c r="A54" t="s">
        <v>58</v>
      </c>
      <c r="B54" t="str">
        <f t="shared" ca="1" si="1"/>
        <v>GC_02</v>
      </c>
      <c r="C54">
        <f t="shared" ca="1" si="2"/>
        <v>3.56</v>
      </c>
      <c r="D54">
        <f t="shared" ca="1" si="3"/>
        <v>9538</v>
      </c>
      <c r="E54">
        <f t="shared" ca="1" si="0"/>
        <v>8.9761789032562836E-2</v>
      </c>
      <c r="F54">
        <f t="shared" ca="1" si="4"/>
        <v>0.95</v>
      </c>
      <c r="G54" s="2">
        <f t="shared" ca="1" si="5"/>
        <v>45737</v>
      </c>
    </row>
    <row r="55" spans="1:7" x14ac:dyDescent="0.2">
      <c r="A55" t="s">
        <v>59</v>
      </c>
      <c r="B55" t="str">
        <f t="shared" ca="1" si="1"/>
        <v>HPLC_01</v>
      </c>
      <c r="C55">
        <f t="shared" ca="1" si="2"/>
        <v>5.08</v>
      </c>
      <c r="D55">
        <f t="shared" ca="1" si="3"/>
        <v>10755</v>
      </c>
      <c r="E55">
        <f t="shared" ca="1" si="0"/>
        <v>9.1097418602716196E-2</v>
      </c>
      <c r="F55">
        <f t="shared" ca="1" si="4"/>
        <v>1.08</v>
      </c>
      <c r="G55" s="2">
        <f t="shared" ca="1" si="5"/>
        <v>45679</v>
      </c>
    </row>
    <row r="56" spans="1:7" x14ac:dyDescent="0.2">
      <c r="A56" t="s">
        <v>60</v>
      </c>
      <c r="B56" t="str">
        <f t="shared" ca="1" si="1"/>
        <v>HPLC_01</v>
      </c>
      <c r="C56">
        <f t="shared" ca="1" si="2"/>
        <v>5.46</v>
      </c>
      <c r="D56">
        <f t="shared" ca="1" si="3"/>
        <v>10677</v>
      </c>
      <c r="E56">
        <f t="shared" ca="1" si="0"/>
        <v>0.10427714783905026</v>
      </c>
      <c r="F56">
        <f t="shared" ca="1" si="4"/>
        <v>1.07</v>
      </c>
      <c r="G56" s="2">
        <f t="shared" ca="1" si="5"/>
        <v>45743</v>
      </c>
    </row>
    <row r="57" spans="1:7" x14ac:dyDescent="0.2">
      <c r="A57" t="s">
        <v>61</v>
      </c>
      <c r="B57" t="str">
        <f t="shared" ca="1" si="1"/>
        <v>GC_02</v>
      </c>
      <c r="C57">
        <f t="shared" ca="1" si="2"/>
        <v>3.74</v>
      </c>
      <c r="D57">
        <f t="shared" ca="1" si="3"/>
        <v>9871</v>
      </c>
      <c r="E57">
        <f t="shared" ca="1" si="0"/>
        <v>8.1770045624709214E-2</v>
      </c>
      <c r="F57">
        <f t="shared" ca="1" si="4"/>
        <v>0.99</v>
      </c>
      <c r="G57" s="2">
        <f t="shared" ca="1" si="5"/>
        <v>45708</v>
      </c>
    </row>
    <row r="58" spans="1:7" x14ac:dyDescent="0.2">
      <c r="A58" t="s">
        <v>62</v>
      </c>
      <c r="B58" t="str">
        <f t="shared" ca="1" si="1"/>
        <v>GC_02</v>
      </c>
      <c r="C58">
        <f t="shared" ca="1" si="2"/>
        <v>3.81</v>
      </c>
      <c r="D58">
        <f t="shared" ca="1" si="3"/>
        <v>9645</v>
      </c>
      <c r="E58">
        <f t="shared" ca="1" si="0"/>
        <v>8.7903555849507112E-2</v>
      </c>
      <c r="F58">
        <f t="shared" ca="1" si="4"/>
        <v>0.96</v>
      </c>
      <c r="G58" s="2">
        <f t="shared" ca="1" si="5"/>
        <v>45707</v>
      </c>
    </row>
    <row r="59" spans="1:7" x14ac:dyDescent="0.2">
      <c r="A59" t="s">
        <v>63</v>
      </c>
      <c r="B59" t="str">
        <f t="shared" ca="1" si="1"/>
        <v>GC_02</v>
      </c>
      <c r="C59">
        <f t="shared" ca="1" si="2"/>
        <v>3.87</v>
      </c>
      <c r="D59">
        <f t="shared" ca="1" si="3"/>
        <v>9856</v>
      </c>
      <c r="E59">
        <f t="shared" ca="1" si="0"/>
        <v>9.9867325861130785E-2</v>
      </c>
      <c r="F59">
        <f t="shared" ca="1" si="4"/>
        <v>0.99</v>
      </c>
      <c r="G59" s="2">
        <f t="shared" ca="1" si="5"/>
        <v>45699</v>
      </c>
    </row>
    <row r="60" spans="1:7" x14ac:dyDescent="0.2">
      <c r="A60" t="s">
        <v>64</v>
      </c>
      <c r="B60" t="str">
        <f t="shared" ca="1" si="1"/>
        <v>GC_02</v>
      </c>
      <c r="C60">
        <f t="shared" ca="1" si="2"/>
        <v>3.66</v>
      </c>
      <c r="D60">
        <f t="shared" ca="1" si="3"/>
        <v>9781</v>
      </c>
      <c r="E60">
        <f t="shared" ca="1" si="0"/>
        <v>7.934791201185229E-2</v>
      </c>
      <c r="F60">
        <f t="shared" ca="1" si="4"/>
        <v>0.98</v>
      </c>
      <c r="G60" s="2">
        <f t="shared" ca="1" si="5"/>
        <v>45711</v>
      </c>
    </row>
    <row r="61" spans="1:7" x14ac:dyDescent="0.2">
      <c r="A61" t="s">
        <v>65</v>
      </c>
      <c r="B61" t="str">
        <f t="shared" ca="1" si="1"/>
        <v>HPLC_01</v>
      </c>
      <c r="C61">
        <f t="shared" ca="1" si="2"/>
        <v>5.23</v>
      </c>
      <c r="D61">
        <f t="shared" ca="1" si="3"/>
        <v>10672</v>
      </c>
      <c r="E61">
        <f t="shared" ca="1" si="0"/>
        <v>0.11795141604948352</v>
      </c>
      <c r="F61">
        <f t="shared" ca="1" si="4"/>
        <v>1.07</v>
      </c>
      <c r="G61" s="2">
        <f t="shared" ca="1" si="5"/>
        <v>45698</v>
      </c>
    </row>
    <row r="62" spans="1:7" x14ac:dyDescent="0.2">
      <c r="A62" t="s">
        <v>66</v>
      </c>
      <c r="B62" t="str">
        <f t="shared" ca="1" si="1"/>
        <v>GC_02</v>
      </c>
      <c r="C62">
        <f t="shared" ca="1" si="2"/>
        <v>3.71</v>
      </c>
      <c r="D62">
        <f t="shared" ca="1" si="3"/>
        <v>9873</v>
      </c>
      <c r="E62">
        <f t="shared" ca="1" si="0"/>
        <v>7.2066170049702366E-2</v>
      </c>
      <c r="F62">
        <f t="shared" ca="1" si="4"/>
        <v>0.99</v>
      </c>
      <c r="G62" s="2">
        <f t="shared" ca="1" si="5"/>
        <v>45675</v>
      </c>
    </row>
    <row r="63" spans="1:7" x14ac:dyDescent="0.2">
      <c r="A63" t="s">
        <v>67</v>
      </c>
      <c r="B63" t="str">
        <f t="shared" ca="1" si="1"/>
        <v>GC_02</v>
      </c>
      <c r="C63">
        <f t="shared" ca="1" si="2"/>
        <v>3.79</v>
      </c>
      <c r="D63">
        <f t="shared" ca="1" si="3"/>
        <v>9858</v>
      </c>
      <c r="E63">
        <f t="shared" ca="1" si="0"/>
        <v>6.7059664474136096E-2</v>
      </c>
      <c r="F63">
        <f t="shared" ca="1" si="4"/>
        <v>0.99</v>
      </c>
      <c r="G63" s="2">
        <f t="shared" ca="1" si="5"/>
        <v>45658</v>
      </c>
    </row>
    <row r="64" spans="1:7" x14ac:dyDescent="0.2">
      <c r="A64" t="s">
        <v>68</v>
      </c>
      <c r="B64" t="str">
        <f t="shared" ca="1" si="1"/>
        <v>HPLC_01</v>
      </c>
      <c r="C64">
        <f t="shared" ca="1" si="2"/>
        <v>5.47</v>
      </c>
      <c r="D64">
        <f t="shared" ca="1" si="3"/>
        <v>10306</v>
      </c>
      <c r="E64">
        <f t="shared" ca="1" si="0"/>
        <v>0.10569628565750629</v>
      </c>
      <c r="F64">
        <f t="shared" ca="1" si="4"/>
        <v>1.03</v>
      </c>
      <c r="G64" s="2">
        <f t="shared" ca="1" si="5"/>
        <v>45680</v>
      </c>
    </row>
    <row r="65" spans="1:7" x14ac:dyDescent="0.2">
      <c r="A65" t="s">
        <v>69</v>
      </c>
      <c r="B65" t="str">
        <f t="shared" ca="1" si="1"/>
        <v>GC_02</v>
      </c>
      <c r="C65">
        <f t="shared" ca="1" si="2"/>
        <v>3.82</v>
      </c>
      <c r="D65">
        <f t="shared" ca="1" si="3"/>
        <v>10159</v>
      </c>
      <c r="E65">
        <f t="shared" ca="1" si="0"/>
        <v>8.1196010038694422E-2</v>
      </c>
      <c r="F65">
        <f t="shared" ca="1" si="4"/>
        <v>1.02</v>
      </c>
      <c r="G65" s="2">
        <f t="shared" ca="1" si="5"/>
        <v>45705</v>
      </c>
    </row>
    <row r="66" spans="1:7" x14ac:dyDescent="0.2">
      <c r="A66" t="s">
        <v>70</v>
      </c>
      <c r="B66" t="str">
        <f t="shared" ca="1" si="1"/>
        <v>GC_02</v>
      </c>
      <c r="C66">
        <f t="shared" ca="1" si="2"/>
        <v>3.81</v>
      </c>
      <c r="D66">
        <f t="shared" ca="1" si="3"/>
        <v>9923</v>
      </c>
      <c r="E66">
        <f t="shared" ca="1" si="0"/>
        <v>9.0300803769704258E-2</v>
      </c>
      <c r="F66">
        <f t="shared" ca="1" si="4"/>
        <v>0.99</v>
      </c>
      <c r="G66" s="2">
        <f t="shared" ca="1" si="5"/>
        <v>45706</v>
      </c>
    </row>
    <row r="67" spans="1:7" x14ac:dyDescent="0.2">
      <c r="A67" t="s">
        <v>71</v>
      </c>
      <c r="B67" t="str">
        <f t="shared" ca="1" si="1"/>
        <v>HPLC_01</v>
      </c>
      <c r="C67">
        <f t="shared" ca="1" si="2"/>
        <v>5</v>
      </c>
      <c r="D67">
        <f t="shared" ca="1" si="3"/>
        <v>10132</v>
      </c>
      <c r="E67">
        <f t="shared" ref="E67:E130" ca="1" si="6">MAX(0.03, 0.03 + 0.015 * C67 + _xlfn.NORM.S.INV(RAND()) * 0.01)</f>
        <v>9.7675539039106654E-2</v>
      </c>
      <c r="F67">
        <f t="shared" ca="1" si="4"/>
        <v>1.01</v>
      </c>
      <c r="G67" s="2">
        <f t="shared" ca="1" si="5"/>
        <v>45689</v>
      </c>
    </row>
    <row r="68" spans="1:7" x14ac:dyDescent="0.2">
      <c r="A68" t="s">
        <v>72</v>
      </c>
      <c r="B68" t="str">
        <f t="shared" ca="1" si="1"/>
        <v>GC_02</v>
      </c>
      <c r="C68">
        <f t="shared" ca="1" si="2"/>
        <v>3.74</v>
      </c>
      <c r="D68">
        <f t="shared" ca="1" si="3"/>
        <v>9693</v>
      </c>
      <c r="E68">
        <f t="shared" ca="1" si="6"/>
        <v>0.10049613095648571</v>
      </c>
      <c r="F68">
        <f t="shared" ca="1" si="4"/>
        <v>0.97</v>
      </c>
      <c r="G68" s="2">
        <f t="shared" ca="1" si="5"/>
        <v>45734</v>
      </c>
    </row>
    <row r="69" spans="1:7" x14ac:dyDescent="0.2">
      <c r="A69" t="s">
        <v>73</v>
      </c>
      <c r="B69" t="str">
        <f t="shared" ca="1" si="1"/>
        <v>GC_02</v>
      </c>
      <c r="C69">
        <f t="shared" ca="1" si="2"/>
        <v>3.84</v>
      </c>
      <c r="D69">
        <f t="shared" ca="1" si="3"/>
        <v>10135</v>
      </c>
      <c r="E69">
        <f t="shared" ca="1" si="6"/>
        <v>8.9256962866219022E-2</v>
      </c>
      <c r="F69">
        <f t="shared" ca="1" si="4"/>
        <v>1.01</v>
      </c>
      <c r="G69" s="2">
        <f t="shared" ca="1" si="5"/>
        <v>45688</v>
      </c>
    </row>
    <row r="70" spans="1:7" x14ac:dyDescent="0.2">
      <c r="A70" t="s">
        <v>74</v>
      </c>
      <c r="B70" t="str">
        <f t="shared" ref="B70:B133" ca="1" si="7">IF(RAND()&lt;0.5, "HPLC_01", "GC_02")</f>
        <v>HPLC_01</v>
      </c>
      <c r="C70">
        <f t="shared" ref="C70:C133" ca="1" si="8">IF(B70="HPLC_01",ROUND(5+RAND()*0.5,2),ROUND(3.5+RAND()*0.4,2))</f>
        <v>5.27</v>
      </c>
      <c r="D70">
        <f t="shared" ref="D70:D133" ca="1" si="9">IF(B70="HPLC_01",ROUND(10000+RAND()*800,0),ROUND(9500+RAND()*700,0))</f>
        <v>10677</v>
      </c>
      <c r="E70">
        <f t="shared" ca="1" si="6"/>
        <v>0.11723034928159322</v>
      </c>
      <c r="F70">
        <f t="shared" ref="F70:F133" ca="1" si="10">ROUND(D70/10000,2)</f>
        <v>1.07</v>
      </c>
      <c r="G70" s="2">
        <f t="shared" ref="G70:G133" ca="1" si="11">DATE(2025,1,1)+RANDBETWEEN(0,90)</f>
        <v>45735</v>
      </c>
    </row>
    <row r="71" spans="1:7" x14ac:dyDescent="0.2">
      <c r="A71" t="s">
        <v>75</v>
      </c>
      <c r="B71" t="str">
        <f t="shared" ca="1" si="7"/>
        <v>HPLC_01</v>
      </c>
      <c r="C71">
        <f t="shared" ca="1" si="8"/>
        <v>5.09</v>
      </c>
      <c r="D71">
        <f t="shared" ca="1" si="9"/>
        <v>10125</v>
      </c>
      <c r="E71">
        <f t="shared" ca="1" si="6"/>
        <v>0.10423103409657124</v>
      </c>
      <c r="F71">
        <f t="shared" ca="1" si="10"/>
        <v>1.01</v>
      </c>
      <c r="G71" s="2">
        <f t="shared" ca="1" si="11"/>
        <v>45716</v>
      </c>
    </row>
    <row r="72" spans="1:7" x14ac:dyDescent="0.2">
      <c r="A72" t="s">
        <v>76</v>
      </c>
      <c r="B72" t="str">
        <f t="shared" ca="1" si="7"/>
        <v>HPLC_01</v>
      </c>
      <c r="C72">
        <f t="shared" ca="1" si="8"/>
        <v>5.19</v>
      </c>
      <c r="D72">
        <f t="shared" ca="1" si="9"/>
        <v>10378</v>
      </c>
      <c r="E72">
        <f t="shared" ca="1" si="6"/>
        <v>9.8392095488127843E-2</v>
      </c>
      <c r="F72">
        <f t="shared" ca="1" si="10"/>
        <v>1.04</v>
      </c>
      <c r="G72" s="2">
        <f t="shared" ca="1" si="11"/>
        <v>45670</v>
      </c>
    </row>
    <row r="73" spans="1:7" x14ac:dyDescent="0.2">
      <c r="A73" t="s">
        <v>77</v>
      </c>
      <c r="B73" t="str">
        <f t="shared" ca="1" si="7"/>
        <v>GC_02</v>
      </c>
      <c r="C73">
        <f t="shared" ca="1" si="8"/>
        <v>3.75</v>
      </c>
      <c r="D73">
        <f t="shared" ca="1" si="9"/>
        <v>10140</v>
      </c>
      <c r="E73">
        <f t="shared" ca="1" si="6"/>
        <v>7.2175030344993979E-2</v>
      </c>
      <c r="F73">
        <f t="shared" ca="1" si="10"/>
        <v>1.01</v>
      </c>
      <c r="G73" s="2">
        <f t="shared" ca="1" si="11"/>
        <v>45686</v>
      </c>
    </row>
    <row r="74" spans="1:7" x14ac:dyDescent="0.2">
      <c r="A74" t="s">
        <v>78</v>
      </c>
      <c r="B74" t="str">
        <f t="shared" ca="1" si="7"/>
        <v>GC_02</v>
      </c>
      <c r="C74">
        <f t="shared" ca="1" si="8"/>
        <v>3.72</v>
      </c>
      <c r="D74">
        <f t="shared" ca="1" si="9"/>
        <v>10065</v>
      </c>
      <c r="E74">
        <f t="shared" ca="1" si="6"/>
        <v>9.320046971020278E-2</v>
      </c>
      <c r="F74">
        <f t="shared" ca="1" si="10"/>
        <v>1.01</v>
      </c>
      <c r="G74" s="2">
        <f t="shared" ca="1" si="11"/>
        <v>45699</v>
      </c>
    </row>
    <row r="75" spans="1:7" x14ac:dyDescent="0.2">
      <c r="A75" t="s">
        <v>79</v>
      </c>
      <c r="B75" t="str">
        <f t="shared" ca="1" si="7"/>
        <v>HPLC_01</v>
      </c>
      <c r="C75">
        <f t="shared" ca="1" si="8"/>
        <v>5.47</v>
      </c>
      <c r="D75">
        <f t="shared" ca="1" si="9"/>
        <v>10474</v>
      </c>
      <c r="E75">
        <f t="shared" ca="1" si="6"/>
        <v>0.1300109095662117</v>
      </c>
      <c r="F75">
        <f t="shared" ca="1" si="10"/>
        <v>1.05</v>
      </c>
      <c r="G75" s="2">
        <f t="shared" ca="1" si="11"/>
        <v>45690</v>
      </c>
    </row>
    <row r="76" spans="1:7" x14ac:dyDescent="0.2">
      <c r="A76" t="s">
        <v>80</v>
      </c>
      <c r="B76" t="str">
        <f t="shared" ca="1" si="7"/>
        <v>HPLC_01</v>
      </c>
      <c r="C76">
        <f t="shared" ca="1" si="8"/>
        <v>5.18</v>
      </c>
      <c r="D76">
        <f t="shared" ca="1" si="9"/>
        <v>10626</v>
      </c>
      <c r="E76">
        <f t="shared" ca="1" si="6"/>
        <v>9.351494117512843E-2</v>
      </c>
      <c r="F76">
        <f t="shared" ca="1" si="10"/>
        <v>1.06</v>
      </c>
      <c r="G76" s="2">
        <f t="shared" ca="1" si="11"/>
        <v>45737</v>
      </c>
    </row>
    <row r="77" spans="1:7" x14ac:dyDescent="0.2">
      <c r="A77" t="s">
        <v>81</v>
      </c>
      <c r="B77" t="str">
        <f t="shared" ca="1" si="7"/>
        <v>HPLC_01</v>
      </c>
      <c r="C77">
        <f t="shared" ca="1" si="8"/>
        <v>5.14</v>
      </c>
      <c r="D77">
        <f t="shared" ca="1" si="9"/>
        <v>10443</v>
      </c>
      <c r="E77">
        <f t="shared" ca="1" si="6"/>
        <v>0.12022543619412286</v>
      </c>
      <c r="F77">
        <f t="shared" ca="1" si="10"/>
        <v>1.04</v>
      </c>
      <c r="G77" s="2">
        <f t="shared" ca="1" si="11"/>
        <v>45699</v>
      </c>
    </row>
    <row r="78" spans="1:7" x14ac:dyDescent="0.2">
      <c r="A78" t="s">
        <v>82</v>
      </c>
      <c r="B78" t="str">
        <f t="shared" ca="1" si="7"/>
        <v>GC_02</v>
      </c>
      <c r="C78">
        <f t="shared" ca="1" si="8"/>
        <v>3.5</v>
      </c>
      <c r="D78">
        <f t="shared" ca="1" si="9"/>
        <v>9824</v>
      </c>
      <c r="E78">
        <f t="shared" ca="1" si="6"/>
        <v>7.3307413153003889E-2</v>
      </c>
      <c r="F78">
        <f t="shared" ca="1" si="10"/>
        <v>0.98</v>
      </c>
      <c r="G78" s="2">
        <f t="shared" ca="1" si="11"/>
        <v>45747</v>
      </c>
    </row>
    <row r="79" spans="1:7" x14ac:dyDescent="0.2">
      <c r="A79" t="s">
        <v>83</v>
      </c>
      <c r="B79" t="str">
        <f t="shared" ca="1" si="7"/>
        <v>GC_02</v>
      </c>
      <c r="C79">
        <f t="shared" ca="1" si="8"/>
        <v>3.73</v>
      </c>
      <c r="D79">
        <f t="shared" ca="1" si="9"/>
        <v>9954</v>
      </c>
      <c r="E79">
        <f t="shared" ca="1" si="6"/>
        <v>9.5538410838616111E-2</v>
      </c>
      <c r="F79">
        <f t="shared" ca="1" si="10"/>
        <v>1</v>
      </c>
      <c r="G79" s="2">
        <f t="shared" ca="1" si="11"/>
        <v>45679</v>
      </c>
    </row>
    <row r="80" spans="1:7" x14ac:dyDescent="0.2">
      <c r="A80" t="s">
        <v>84</v>
      </c>
      <c r="B80" t="str">
        <f t="shared" ca="1" si="7"/>
        <v>HPLC_01</v>
      </c>
      <c r="C80">
        <f t="shared" ca="1" si="8"/>
        <v>5.14</v>
      </c>
      <c r="D80">
        <f t="shared" ca="1" si="9"/>
        <v>10495</v>
      </c>
      <c r="E80">
        <f t="shared" ca="1" si="6"/>
        <v>0.11247753157023697</v>
      </c>
      <c r="F80">
        <f t="shared" ca="1" si="10"/>
        <v>1.05</v>
      </c>
      <c r="G80" s="2">
        <f t="shared" ca="1" si="11"/>
        <v>45686</v>
      </c>
    </row>
    <row r="81" spans="1:7" x14ac:dyDescent="0.2">
      <c r="A81" t="s">
        <v>85</v>
      </c>
      <c r="B81" t="str">
        <f t="shared" ca="1" si="7"/>
        <v>GC_02</v>
      </c>
      <c r="C81">
        <f t="shared" ca="1" si="8"/>
        <v>3.76</v>
      </c>
      <c r="D81">
        <f t="shared" ca="1" si="9"/>
        <v>9879</v>
      </c>
      <c r="E81">
        <f t="shared" ca="1" si="6"/>
        <v>8.5772798889433191E-2</v>
      </c>
      <c r="F81">
        <f t="shared" ca="1" si="10"/>
        <v>0.99</v>
      </c>
      <c r="G81" s="2">
        <f t="shared" ca="1" si="11"/>
        <v>45660</v>
      </c>
    </row>
    <row r="82" spans="1:7" x14ac:dyDescent="0.2">
      <c r="A82" t="s">
        <v>86</v>
      </c>
      <c r="B82" t="str">
        <f t="shared" ca="1" si="7"/>
        <v>GC_02</v>
      </c>
      <c r="C82">
        <f t="shared" ca="1" si="8"/>
        <v>3.61</v>
      </c>
      <c r="D82">
        <f t="shared" ca="1" si="9"/>
        <v>9592</v>
      </c>
      <c r="E82">
        <f t="shared" ca="1" si="6"/>
        <v>7.6415460318520756E-2</v>
      </c>
      <c r="F82">
        <f t="shared" ca="1" si="10"/>
        <v>0.96</v>
      </c>
      <c r="G82" s="2">
        <f t="shared" ca="1" si="11"/>
        <v>45729</v>
      </c>
    </row>
    <row r="83" spans="1:7" x14ac:dyDescent="0.2">
      <c r="A83" t="s">
        <v>87</v>
      </c>
      <c r="B83" t="str">
        <f t="shared" ca="1" si="7"/>
        <v>GC_02</v>
      </c>
      <c r="C83">
        <f t="shared" ca="1" si="8"/>
        <v>3.58</v>
      </c>
      <c r="D83">
        <f t="shared" ca="1" si="9"/>
        <v>9541</v>
      </c>
      <c r="E83">
        <f t="shared" ca="1" si="6"/>
        <v>9.3862972786463036E-2</v>
      </c>
      <c r="F83">
        <f t="shared" ca="1" si="10"/>
        <v>0.95</v>
      </c>
      <c r="G83" s="2">
        <f t="shared" ca="1" si="11"/>
        <v>45738</v>
      </c>
    </row>
    <row r="84" spans="1:7" x14ac:dyDescent="0.2">
      <c r="A84" t="s">
        <v>88</v>
      </c>
      <c r="B84" t="str">
        <f t="shared" ca="1" si="7"/>
        <v>GC_02</v>
      </c>
      <c r="C84">
        <f t="shared" ca="1" si="8"/>
        <v>3.52</v>
      </c>
      <c r="D84">
        <f t="shared" ca="1" si="9"/>
        <v>10171</v>
      </c>
      <c r="E84">
        <f t="shared" ca="1" si="6"/>
        <v>8.4311846887624636E-2</v>
      </c>
      <c r="F84">
        <f t="shared" ca="1" si="10"/>
        <v>1.02</v>
      </c>
      <c r="G84" s="2">
        <f t="shared" ca="1" si="11"/>
        <v>45696</v>
      </c>
    </row>
    <row r="85" spans="1:7" x14ac:dyDescent="0.2">
      <c r="A85" t="s">
        <v>89</v>
      </c>
      <c r="B85" t="str">
        <f t="shared" ca="1" si="7"/>
        <v>HPLC_01</v>
      </c>
      <c r="C85">
        <f t="shared" ca="1" si="8"/>
        <v>5.16</v>
      </c>
      <c r="D85">
        <f t="shared" ca="1" si="9"/>
        <v>10310</v>
      </c>
      <c r="E85">
        <f t="shared" ca="1" si="6"/>
        <v>9.9755430601332643E-2</v>
      </c>
      <c r="F85">
        <f t="shared" ca="1" si="10"/>
        <v>1.03</v>
      </c>
      <c r="G85" s="2">
        <f t="shared" ca="1" si="11"/>
        <v>45662</v>
      </c>
    </row>
    <row r="86" spans="1:7" x14ac:dyDescent="0.2">
      <c r="A86" t="s">
        <v>90</v>
      </c>
      <c r="B86" t="str">
        <f t="shared" ca="1" si="7"/>
        <v>HPLC_01</v>
      </c>
      <c r="C86">
        <f t="shared" ca="1" si="8"/>
        <v>5.05</v>
      </c>
      <c r="D86">
        <f t="shared" ca="1" si="9"/>
        <v>10110</v>
      </c>
      <c r="E86">
        <f t="shared" ca="1" si="6"/>
        <v>9.1213928844968761E-2</v>
      </c>
      <c r="F86">
        <f t="shared" ca="1" si="10"/>
        <v>1.01</v>
      </c>
      <c r="G86" s="2">
        <f t="shared" ca="1" si="11"/>
        <v>45748</v>
      </c>
    </row>
    <row r="87" spans="1:7" x14ac:dyDescent="0.2">
      <c r="A87" t="s">
        <v>91</v>
      </c>
      <c r="B87" t="str">
        <f t="shared" ca="1" si="7"/>
        <v>HPLC_01</v>
      </c>
      <c r="C87">
        <f t="shared" ca="1" si="8"/>
        <v>5.03</v>
      </c>
      <c r="D87">
        <f t="shared" ca="1" si="9"/>
        <v>10637</v>
      </c>
      <c r="E87">
        <f t="shared" ca="1" si="6"/>
        <v>9.3553526641928647E-2</v>
      </c>
      <c r="F87">
        <f t="shared" ca="1" si="10"/>
        <v>1.06</v>
      </c>
      <c r="G87" s="2">
        <f t="shared" ca="1" si="11"/>
        <v>45692</v>
      </c>
    </row>
    <row r="88" spans="1:7" x14ac:dyDescent="0.2">
      <c r="A88" t="s">
        <v>92</v>
      </c>
      <c r="B88" t="str">
        <f t="shared" ca="1" si="7"/>
        <v>GC_02</v>
      </c>
      <c r="C88">
        <f t="shared" ca="1" si="8"/>
        <v>3.65</v>
      </c>
      <c r="D88">
        <f t="shared" ca="1" si="9"/>
        <v>9549</v>
      </c>
      <c r="E88">
        <f t="shared" ca="1" si="6"/>
        <v>6.7291183250807476E-2</v>
      </c>
      <c r="F88">
        <f t="shared" ca="1" si="10"/>
        <v>0.95</v>
      </c>
      <c r="G88" s="2">
        <f t="shared" ca="1" si="11"/>
        <v>45661</v>
      </c>
    </row>
    <row r="89" spans="1:7" x14ac:dyDescent="0.2">
      <c r="A89" t="s">
        <v>93</v>
      </c>
      <c r="B89" t="str">
        <f t="shared" ca="1" si="7"/>
        <v>HPLC_01</v>
      </c>
      <c r="C89">
        <f t="shared" ca="1" si="8"/>
        <v>5.46</v>
      </c>
      <c r="D89">
        <f t="shared" ca="1" si="9"/>
        <v>10598</v>
      </c>
      <c r="E89">
        <f t="shared" ca="1" si="6"/>
        <v>0.11231288757237698</v>
      </c>
      <c r="F89">
        <f t="shared" ca="1" si="10"/>
        <v>1.06</v>
      </c>
      <c r="G89" s="2">
        <f t="shared" ca="1" si="11"/>
        <v>45723</v>
      </c>
    </row>
    <row r="90" spans="1:7" x14ac:dyDescent="0.2">
      <c r="A90" t="s">
        <v>94</v>
      </c>
      <c r="B90" t="str">
        <f t="shared" ca="1" si="7"/>
        <v>HPLC_01</v>
      </c>
      <c r="C90">
        <f t="shared" ca="1" si="8"/>
        <v>5.19</v>
      </c>
      <c r="D90">
        <f t="shared" ca="1" si="9"/>
        <v>10696</v>
      </c>
      <c r="E90">
        <f t="shared" ca="1" si="6"/>
        <v>0.12606352116560837</v>
      </c>
      <c r="F90">
        <f t="shared" ca="1" si="10"/>
        <v>1.07</v>
      </c>
      <c r="G90" s="2">
        <f t="shared" ca="1" si="11"/>
        <v>45699</v>
      </c>
    </row>
    <row r="91" spans="1:7" x14ac:dyDescent="0.2">
      <c r="A91" t="s">
        <v>95</v>
      </c>
      <c r="B91" t="str">
        <f t="shared" ca="1" si="7"/>
        <v>HPLC_01</v>
      </c>
      <c r="C91">
        <f t="shared" ca="1" si="8"/>
        <v>5.42</v>
      </c>
      <c r="D91">
        <f t="shared" ca="1" si="9"/>
        <v>10753</v>
      </c>
      <c r="E91">
        <f t="shared" ca="1" si="6"/>
        <v>0.11024253448833968</v>
      </c>
      <c r="F91">
        <f t="shared" ca="1" si="10"/>
        <v>1.08</v>
      </c>
      <c r="G91" s="2">
        <f t="shared" ca="1" si="11"/>
        <v>45668</v>
      </c>
    </row>
    <row r="92" spans="1:7" x14ac:dyDescent="0.2">
      <c r="A92" t="s">
        <v>96</v>
      </c>
      <c r="B92" t="str">
        <f t="shared" ca="1" si="7"/>
        <v>HPLC_01</v>
      </c>
      <c r="C92">
        <f t="shared" ca="1" si="8"/>
        <v>5.41</v>
      </c>
      <c r="D92">
        <f t="shared" ca="1" si="9"/>
        <v>10515</v>
      </c>
      <c r="E92">
        <f t="shared" ca="1" si="6"/>
        <v>0.12290882992592204</v>
      </c>
      <c r="F92">
        <f t="shared" ca="1" si="10"/>
        <v>1.05</v>
      </c>
      <c r="G92" s="2">
        <f t="shared" ca="1" si="11"/>
        <v>45678</v>
      </c>
    </row>
    <row r="93" spans="1:7" x14ac:dyDescent="0.2">
      <c r="A93" t="s">
        <v>97</v>
      </c>
      <c r="B93" t="str">
        <f t="shared" ca="1" si="7"/>
        <v>HPLC_01</v>
      </c>
      <c r="C93">
        <f t="shared" ca="1" si="8"/>
        <v>5.28</v>
      </c>
      <c r="D93">
        <f t="shared" ca="1" si="9"/>
        <v>10580</v>
      </c>
      <c r="E93">
        <f t="shared" ca="1" si="6"/>
        <v>0.10238456007701738</v>
      </c>
      <c r="F93">
        <f t="shared" ca="1" si="10"/>
        <v>1.06</v>
      </c>
      <c r="G93" s="2">
        <f t="shared" ca="1" si="11"/>
        <v>45712</v>
      </c>
    </row>
    <row r="94" spans="1:7" x14ac:dyDescent="0.2">
      <c r="A94" t="s">
        <v>98</v>
      </c>
      <c r="B94" t="str">
        <f t="shared" ca="1" si="7"/>
        <v>GC_02</v>
      </c>
      <c r="C94">
        <f t="shared" ca="1" si="8"/>
        <v>3.7</v>
      </c>
      <c r="D94">
        <f t="shared" ca="1" si="9"/>
        <v>9886</v>
      </c>
      <c r="E94">
        <f t="shared" ca="1" si="6"/>
        <v>7.0337146076214177E-2</v>
      </c>
      <c r="F94">
        <f t="shared" ca="1" si="10"/>
        <v>0.99</v>
      </c>
      <c r="G94" s="2">
        <f t="shared" ca="1" si="11"/>
        <v>45675</v>
      </c>
    </row>
    <row r="95" spans="1:7" x14ac:dyDescent="0.2">
      <c r="A95" t="s">
        <v>99</v>
      </c>
      <c r="B95" t="str">
        <f t="shared" ca="1" si="7"/>
        <v>HPLC_01</v>
      </c>
      <c r="C95">
        <f t="shared" ca="1" si="8"/>
        <v>5.41</v>
      </c>
      <c r="D95">
        <f t="shared" ca="1" si="9"/>
        <v>10574</v>
      </c>
      <c r="E95">
        <f t="shared" ca="1" si="6"/>
        <v>0.10546202995696005</v>
      </c>
      <c r="F95">
        <f t="shared" ca="1" si="10"/>
        <v>1.06</v>
      </c>
      <c r="G95" s="2">
        <f t="shared" ca="1" si="11"/>
        <v>45739</v>
      </c>
    </row>
    <row r="96" spans="1:7" x14ac:dyDescent="0.2">
      <c r="A96" t="s">
        <v>100</v>
      </c>
      <c r="B96" t="str">
        <f t="shared" ca="1" si="7"/>
        <v>HPLC_01</v>
      </c>
      <c r="C96">
        <f t="shared" ca="1" si="8"/>
        <v>5.5</v>
      </c>
      <c r="D96">
        <f t="shared" ca="1" si="9"/>
        <v>10176</v>
      </c>
      <c r="E96">
        <f t="shared" ca="1" si="6"/>
        <v>0.13213532103154618</v>
      </c>
      <c r="F96">
        <f t="shared" ca="1" si="10"/>
        <v>1.02</v>
      </c>
      <c r="G96" s="2">
        <f t="shared" ca="1" si="11"/>
        <v>45721</v>
      </c>
    </row>
    <row r="97" spans="1:7" x14ac:dyDescent="0.2">
      <c r="A97" t="s">
        <v>101</v>
      </c>
      <c r="B97" t="str">
        <f t="shared" ca="1" si="7"/>
        <v>GC_02</v>
      </c>
      <c r="C97">
        <f t="shared" ca="1" si="8"/>
        <v>3.65</v>
      </c>
      <c r="D97">
        <f t="shared" ca="1" si="9"/>
        <v>9951</v>
      </c>
      <c r="E97">
        <f t="shared" ca="1" si="6"/>
        <v>7.8316665337371361E-2</v>
      </c>
      <c r="F97">
        <f t="shared" ca="1" si="10"/>
        <v>1</v>
      </c>
      <c r="G97" s="2">
        <f t="shared" ca="1" si="11"/>
        <v>45713</v>
      </c>
    </row>
    <row r="98" spans="1:7" x14ac:dyDescent="0.2">
      <c r="A98" t="s">
        <v>102</v>
      </c>
      <c r="B98" t="str">
        <f t="shared" ca="1" si="7"/>
        <v>GC_02</v>
      </c>
      <c r="C98">
        <f t="shared" ca="1" si="8"/>
        <v>3.85</v>
      </c>
      <c r="D98">
        <f t="shared" ca="1" si="9"/>
        <v>9917</v>
      </c>
      <c r="E98">
        <f t="shared" ca="1" si="6"/>
        <v>9.3321456300469244E-2</v>
      </c>
      <c r="F98">
        <f t="shared" ca="1" si="10"/>
        <v>0.99</v>
      </c>
      <c r="G98" s="2">
        <f t="shared" ca="1" si="11"/>
        <v>45728</v>
      </c>
    </row>
    <row r="99" spans="1:7" x14ac:dyDescent="0.2">
      <c r="A99" t="s">
        <v>103</v>
      </c>
      <c r="B99" t="str">
        <f t="shared" ca="1" si="7"/>
        <v>HPLC_01</v>
      </c>
      <c r="C99">
        <f t="shared" ca="1" si="8"/>
        <v>5.42</v>
      </c>
      <c r="D99">
        <f t="shared" ca="1" si="9"/>
        <v>10177</v>
      </c>
      <c r="E99">
        <f t="shared" ca="1" si="6"/>
        <v>0.10410338634266714</v>
      </c>
      <c r="F99">
        <f t="shared" ca="1" si="10"/>
        <v>1.02</v>
      </c>
      <c r="G99" s="2">
        <f t="shared" ca="1" si="11"/>
        <v>45741</v>
      </c>
    </row>
    <row r="100" spans="1:7" x14ac:dyDescent="0.2">
      <c r="A100" t="s">
        <v>104</v>
      </c>
      <c r="B100" t="str">
        <f t="shared" ca="1" si="7"/>
        <v>HPLC_01</v>
      </c>
      <c r="C100">
        <f t="shared" ca="1" si="8"/>
        <v>5.31</v>
      </c>
      <c r="D100">
        <f t="shared" ca="1" si="9"/>
        <v>10569</v>
      </c>
      <c r="E100">
        <f t="shared" ca="1" si="6"/>
        <v>0.11518084002824677</v>
      </c>
      <c r="F100">
        <f t="shared" ca="1" si="10"/>
        <v>1.06</v>
      </c>
      <c r="G100" s="2">
        <f t="shared" ca="1" si="11"/>
        <v>45740</v>
      </c>
    </row>
    <row r="101" spans="1:7" x14ac:dyDescent="0.2">
      <c r="A101" t="s">
        <v>105</v>
      </c>
      <c r="B101" t="str">
        <f t="shared" ca="1" si="7"/>
        <v>GC_02</v>
      </c>
      <c r="C101">
        <f t="shared" ca="1" si="8"/>
        <v>3.69</v>
      </c>
      <c r="D101">
        <f t="shared" ca="1" si="9"/>
        <v>9627</v>
      </c>
      <c r="E101">
        <f t="shared" ca="1" si="6"/>
        <v>9.6699287989406219E-2</v>
      </c>
      <c r="F101">
        <f t="shared" ca="1" si="10"/>
        <v>0.96</v>
      </c>
      <c r="G101" s="2">
        <f t="shared" ca="1" si="11"/>
        <v>45705</v>
      </c>
    </row>
    <row r="102" spans="1:7" x14ac:dyDescent="0.2">
      <c r="A102" t="s">
        <v>106</v>
      </c>
      <c r="B102" t="str">
        <f t="shared" ca="1" si="7"/>
        <v>HPLC_01</v>
      </c>
      <c r="C102">
        <f t="shared" ca="1" si="8"/>
        <v>5.48</v>
      </c>
      <c r="D102">
        <f t="shared" ca="1" si="9"/>
        <v>10015</v>
      </c>
      <c r="E102">
        <f t="shared" ca="1" si="6"/>
        <v>0.11985637586222458</v>
      </c>
      <c r="F102">
        <f t="shared" ca="1" si="10"/>
        <v>1</v>
      </c>
      <c r="G102" s="2">
        <f t="shared" ca="1" si="11"/>
        <v>45658</v>
      </c>
    </row>
    <row r="103" spans="1:7" x14ac:dyDescent="0.2">
      <c r="A103" t="s">
        <v>107</v>
      </c>
      <c r="B103" t="str">
        <f t="shared" ca="1" si="7"/>
        <v>HPLC_01</v>
      </c>
      <c r="C103">
        <f t="shared" ca="1" si="8"/>
        <v>5.25</v>
      </c>
      <c r="D103">
        <f t="shared" ca="1" si="9"/>
        <v>10370</v>
      </c>
      <c r="E103">
        <f t="shared" ca="1" si="6"/>
        <v>0.12900842298027507</v>
      </c>
      <c r="F103">
        <f t="shared" ca="1" si="10"/>
        <v>1.04</v>
      </c>
      <c r="G103" s="2">
        <f t="shared" ca="1" si="11"/>
        <v>45731</v>
      </c>
    </row>
    <row r="104" spans="1:7" x14ac:dyDescent="0.2">
      <c r="A104" t="s">
        <v>108</v>
      </c>
      <c r="B104" t="str">
        <f t="shared" ca="1" si="7"/>
        <v>GC_02</v>
      </c>
      <c r="C104">
        <f t="shared" ca="1" si="8"/>
        <v>3.64</v>
      </c>
      <c r="D104">
        <f t="shared" ca="1" si="9"/>
        <v>10012</v>
      </c>
      <c r="E104">
        <f t="shared" ca="1" si="6"/>
        <v>8.2829022752699502E-2</v>
      </c>
      <c r="F104">
        <f t="shared" ca="1" si="10"/>
        <v>1</v>
      </c>
      <c r="G104" s="2">
        <f t="shared" ca="1" si="11"/>
        <v>45722</v>
      </c>
    </row>
    <row r="105" spans="1:7" x14ac:dyDescent="0.2">
      <c r="A105" t="s">
        <v>109</v>
      </c>
      <c r="B105" t="str">
        <f t="shared" ca="1" si="7"/>
        <v>HPLC_01</v>
      </c>
      <c r="C105">
        <f t="shared" ca="1" si="8"/>
        <v>5.03</v>
      </c>
      <c r="D105">
        <f t="shared" ca="1" si="9"/>
        <v>10552</v>
      </c>
      <c r="E105">
        <f t="shared" ca="1" si="6"/>
        <v>0.11475957518302439</v>
      </c>
      <c r="F105">
        <f t="shared" ca="1" si="10"/>
        <v>1.06</v>
      </c>
      <c r="G105" s="2">
        <f t="shared" ca="1" si="11"/>
        <v>45687</v>
      </c>
    </row>
    <row r="106" spans="1:7" x14ac:dyDescent="0.2">
      <c r="A106" t="s">
        <v>110</v>
      </c>
      <c r="B106" t="str">
        <f t="shared" ca="1" si="7"/>
        <v>HPLC_01</v>
      </c>
      <c r="C106">
        <f t="shared" ca="1" si="8"/>
        <v>5.0599999999999996</v>
      </c>
      <c r="D106">
        <f t="shared" ca="1" si="9"/>
        <v>10484</v>
      </c>
      <c r="E106">
        <f t="shared" ca="1" si="6"/>
        <v>9.2720426674200301E-2</v>
      </c>
      <c r="F106">
        <f t="shared" ca="1" si="10"/>
        <v>1.05</v>
      </c>
      <c r="G106" s="2">
        <f t="shared" ca="1" si="11"/>
        <v>45728</v>
      </c>
    </row>
    <row r="107" spans="1:7" x14ac:dyDescent="0.2">
      <c r="A107" t="s">
        <v>111</v>
      </c>
      <c r="B107" t="str">
        <f t="shared" ca="1" si="7"/>
        <v>HPLC_01</v>
      </c>
      <c r="C107">
        <f t="shared" ca="1" si="8"/>
        <v>5.03</v>
      </c>
      <c r="D107">
        <f t="shared" ca="1" si="9"/>
        <v>10778</v>
      </c>
      <c r="E107">
        <f t="shared" ca="1" si="6"/>
        <v>0.10204137002662601</v>
      </c>
      <c r="F107">
        <f t="shared" ca="1" si="10"/>
        <v>1.08</v>
      </c>
      <c r="G107" s="2">
        <f t="shared" ca="1" si="11"/>
        <v>45667</v>
      </c>
    </row>
    <row r="108" spans="1:7" x14ac:dyDescent="0.2">
      <c r="A108" t="s">
        <v>112</v>
      </c>
      <c r="B108" t="str">
        <f t="shared" ca="1" si="7"/>
        <v>GC_02</v>
      </c>
      <c r="C108">
        <f t="shared" ca="1" si="8"/>
        <v>3.79</v>
      </c>
      <c r="D108">
        <f t="shared" ca="1" si="9"/>
        <v>10066</v>
      </c>
      <c r="E108">
        <f t="shared" ca="1" si="6"/>
        <v>8.6197531214211434E-2</v>
      </c>
      <c r="F108">
        <f t="shared" ca="1" si="10"/>
        <v>1.01</v>
      </c>
      <c r="G108" s="2">
        <f t="shared" ca="1" si="11"/>
        <v>45664</v>
      </c>
    </row>
    <row r="109" spans="1:7" x14ac:dyDescent="0.2">
      <c r="A109" t="s">
        <v>113</v>
      </c>
      <c r="B109" t="str">
        <f t="shared" ca="1" si="7"/>
        <v>HPLC_01</v>
      </c>
      <c r="C109">
        <f t="shared" ca="1" si="8"/>
        <v>5.0599999999999996</v>
      </c>
      <c r="D109">
        <f t="shared" ca="1" si="9"/>
        <v>10197</v>
      </c>
      <c r="E109">
        <f t="shared" ca="1" si="6"/>
        <v>0.11758037659071383</v>
      </c>
      <c r="F109">
        <f t="shared" ca="1" si="10"/>
        <v>1.02</v>
      </c>
      <c r="G109" s="2">
        <f t="shared" ca="1" si="11"/>
        <v>45735</v>
      </c>
    </row>
    <row r="110" spans="1:7" x14ac:dyDescent="0.2">
      <c r="A110" t="s">
        <v>114</v>
      </c>
      <c r="B110" t="str">
        <f t="shared" ca="1" si="7"/>
        <v>HPLC_01</v>
      </c>
      <c r="C110">
        <f t="shared" ca="1" si="8"/>
        <v>5.0999999999999996</v>
      </c>
      <c r="D110">
        <f t="shared" ca="1" si="9"/>
        <v>10725</v>
      </c>
      <c r="E110">
        <f t="shared" ca="1" si="6"/>
        <v>0.11033171991748764</v>
      </c>
      <c r="F110">
        <f t="shared" ca="1" si="10"/>
        <v>1.07</v>
      </c>
      <c r="G110" s="2">
        <f t="shared" ca="1" si="11"/>
        <v>45710</v>
      </c>
    </row>
    <row r="111" spans="1:7" x14ac:dyDescent="0.2">
      <c r="A111" t="s">
        <v>115</v>
      </c>
      <c r="B111" t="str">
        <f t="shared" ca="1" si="7"/>
        <v>HPLC_01</v>
      </c>
      <c r="C111">
        <f t="shared" ca="1" si="8"/>
        <v>5.08</v>
      </c>
      <c r="D111">
        <f t="shared" ca="1" si="9"/>
        <v>10103</v>
      </c>
      <c r="E111">
        <f t="shared" ca="1" si="6"/>
        <v>0.10381732354754876</v>
      </c>
      <c r="F111">
        <f t="shared" ca="1" si="10"/>
        <v>1.01</v>
      </c>
      <c r="G111" s="2">
        <f t="shared" ca="1" si="11"/>
        <v>45658</v>
      </c>
    </row>
    <row r="112" spans="1:7" x14ac:dyDescent="0.2">
      <c r="A112" t="s">
        <v>116</v>
      </c>
      <c r="B112" t="str">
        <f t="shared" ca="1" si="7"/>
        <v>HPLC_01</v>
      </c>
      <c r="C112">
        <f t="shared" ca="1" si="8"/>
        <v>5.18</v>
      </c>
      <c r="D112">
        <f t="shared" ca="1" si="9"/>
        <v>10592</v>
      </c>
      <c r="E112">
        <f t="shared" ca="1" si="6"/>
        <v>0.11251188228248082</v>
      </c>
      <c r="F112">
        <f t="shared" ca="1" si="10"/>
        <v>1.06</v>
      </c>
      <c r="G112" s="2">
        <f t="shared" ca="1" si="11"/>
        <v>45701</v>
      </c>
    </row>
    <row r="113" spans="1:7" x14ac:dyDescent="0.2">
      <c r="A113" t="s">
        <v>117</v>
      </c>
      <c r="B113" t="str">
        <f t="shared" ca="1" si="7"/>
        <v>GC_02</v>
      </c>
      <c r="C113">
        <f t="shared" ca="1" si="8"/>
        <v>3.87</v>
      </c>
      <c r="D113">
        <f t="shared" ca="1" si="9"/>
        <v>10123</v>
      </c>
      <c r="E113">
        <f t="shared" ca="1" si="6"/>
        <v>0.11010897902940495</v>
      </c>
      <c r="F113">
        <f t="shared" ca="1" si="10"/>
        <v>1.01</v>
      </c>
      <c r="G113" s="2">
        <f t="shared" ca="1" si="11"/>
        <v>45694</v>
      </c>
    </row>
    <row r="114" spans="1:7" x14ac:dyDescent="0.2">
      <c r="A114" t="s">
        <v>118</v>
      </c>
      <c r="B114" t="str">
        <f t="shared" ca="1" si="7"/>
        <v>GC_02</v>
      </c>
      <c r="C114">
        <f t="shared" ca="1" si="8"/>
        <v>3.54</v>
      </c>
      <c r="D114">
        <f t="shared" ca="1" si="9"/>
        <v>9730</v>
      </c>
      <c r="E114">
        <f t="shared" ca="1" si="6"/>
        <v>8.3653538422140405E-2</v>
      </c>
      <c r="F114">
        <f t="shared" ca="1" si="10"/>
        <v>0.97</v>
      </c>
      <c r="G114" s="2">
        <f t="shared" ca="1" si="11"/>
        <v>45675</v>
      </c>
    </row>
    <row r="115" spans="1:7" x14ac:dyDescent="0.2">
      <c r="A115" t="s">
        <v>119</v>
      </c>
      <c r="B115" t="str">
        <f t="shared" ca="1" si="7"/>
        <v>GC_02</v>
      </c>
      <c r="C115">
        <f t="shared" ca="1" si="8"/>
        <v>3.56</v>
      </c>
      <c r="D115">
        <f t="shared" ca="1" si="9"/>
        <v>10047</v>
      </c>
      <c r="E115">
        <f t="shared" ca="1" si="6"/>
        <v>8.1624539419089856E-2</v>
      </c>
      <c r="F115">
        <f t="shared" ca="1" si="10"/>
        <v>1</v>
      </c>
      <c r="G115" s="2">
        <f t="shared" ca="1" si="11"/>
        <v>45681</v>
      </c>
    </row>
    <row r="116" spans="1:7" x14ac:dyDescent="0.2">
      <c r="A116" t="s">
        <v>120</v>
      </c>
      <c r="B116" t="str">
        <f t="shared" ca="1" si="7"/>
        <v>HPLC_01</v>
      </c>
      <c r="C116">
        <f t="shared" ca="1" si="8"/>
        <v>5.01</v>
      </c>
      <c r="D116">
        <f t="shared" ca="1" si="9"/>
        <v>10393</v>
      </c>
      <c r="E116">
        <f t="shared" ca="1" si="6"/>
        <v>8.6786702955308784E-2</v>
      </c>
      <c r="F116">
        <f t="shared" ca="1" si="10"/>
        <v>1.04</v>
      </c>
      <c r="G116" s="2">
        <f t="shared" ca="1" si="11"/>
        <v>45742</v>
      </c>
    </row>
    <row r="117" spans="1:7" x14ac:dyDescent="0.2">
      <c r="A117" t="s">
        <v>121</v>
      </c>
      <c r="B117" t="str">
        <f t="shared" ca="1" si="7"/>
        <v>HPLC_01</v>
      </c>
      <c r="C117">
        <f t="shared" ca="1" si="8"/>
        <v>5.23</v>
      </c>
      <c r="D117">
        <f t="shared" ca="1" si="9"/>
        <v>10296</v>
      </c>
      <c r="E117">
        <f t="shared" ca="1" si="6"/>
        <v>0.11676803225112438</v>
      </c>
      <c r="F117">
        <f t="shared" ca="1" si="10"/>
        <v>1.03</v>
      </c>
      <c r="G117" s="2">
        <f t="shared" ca="1" si="11"/>
        <v>45704</v>
      </c>
    </row>
    <row r="118" spans="1:7" x14ac:dyDescent="0.2">
      <c r="A118" t="s">
        <v>122</v>
      </c>
      <c r="B118" t="str">
        <f t="shared" ca="1" si="7"/>
        <v>GC_02</v>
      </c>
      <c r="C118">
        <f t="shared" ca="1" si="8"/>
        <v>3.74</v>
      </c>
      <c r="D118">
        <f t="shared" ca="1" si="9"/>
        <v>9811</v>
      </c>
      <c r="E118">
        <f t="shared" ca="1" si="6"/>
        <v>9.3466730419042396E-2</v>
      </c>
      <c r="F118">
        <f t="shared" ca="1" si="10"/>
        <v>0.98</v>
      </c>
      <c r="G118" s="2">
        <f t="shared" ca="1" si="11"/>
        <v>45718</v>
      </c>
    </row>
    <row r="119" spans="1:7" x14ac:dyDescent="0.2">
      <c r="A119" t="s">
        <v>123</v>
      </c>
      <c r="B119" t="str">
        <f t="shared" ca="1" si="7"/>
        <v>HPLC_01</v>
      </c>
      <c r="C119">
        <f t="shared" ca="1" si="8"/>
        <v>5.34</v>
      </c>
      <c r="D119">
        <f t="shared" ca="1" si="9"/>
        <v>10337</v>
      </c>
      <c r="E119">
        <f t="shared" ca="1" si="6"/>
        <v>0.11191452838003847</v>
      </c>
      <c r="F119">
        <f t="shared" ca="1" si="10"/>
        <v>1.03</v>
      </c>
      <c r="G119" s="2">
        <f t="shared" ca="1" si="11"/>
        <v>45659</v>
      </c>
    </row>
    <row r="120" spans="1:7" x14ac:dyDescent="0.2">
      <c r="A120" t="s">
        <v>124</v>
      </c>
      <c r="B120" t="str">
        <f t="shared" ca="1" si="7"/>
        <v>HPLC_01</v>
      </c>
      <c r="C120">
        <f t="shared" ca="1" si="8"/>
        <v>5.27</v>
      </c>
      <c r="D120">
        <f t="shared" ca="1" si="9"/>
        <v>10550</v>
      </c>
      <c r="E120">
        <f t="shared" ca="1" si="6"/>
        <v>9.4173069085286512E-2</v>
      </c>
      <c r="F120">
        <f t="shared" ca="1" si="10"/>
        <v>1.06</v>
      </c>
      <c r="G120" s="2">
        <f t="shared" ca="1" si="11"/>
        <v>45679</v>
      </c>
    </row>
    <row r="121" spans="1:7" x14ac:dyDescent="0.2">
      <c r="A121" t="s">
        <v>125</v>
      </c>
      <c r="B121" t="str">
        <f t="shared" ca="1" si="7"/>
        <v>HPLC_01</v>
      </c>
      <c r="C121">
        <f t="shared" ca="1" si="8"/>
        <v>5.34</v>
      </c>
      <c r="D121">
        <f t="shared" ca="1" si="9"/>
        <v>10348</v>
      </c>
      <c r="E121">
        <f t="shared" ca="1" si="6"/>
        <v>0.10625414569688457</v>
      </c>
      <c r="F121">
        <f t="shared" ca="1" si="10"/>
        <v>1.03</v>
      </c>
      <c r="G121" s="2">
        <f t="shared" ca="1" si="11"/>
        <v>45700</v>
      </c>
    </row>
    <row r="122" spans="1:7" x14ac:dyDescent="0.2">
      <c r="A122" t="s">
        <v>126</v>
      </c>
      <c r="B122" t="str">
        <f t="shared" ca="1" si="7"/>
        <v>GC_02</v>
      </c>
      <c r="C122">
        <f t="shared" ca="1" si="8"/>
        <v>3.85</v>
      </c>
      <c r="D122">
        <f t="shared" ca="1" si="9"/>
        <v>9922</v>
      </c>
      <c r="E122">
        <f t="shared" ca="1" si="6"/>
        <v>9.0432439840952075E-2</v>
      </c>
      <c r="F122">
        <f t="shared" ca="1" si="10"/>
        <v>0.99</v>
      </c>
      <c r="G122" s="2">
        <f t="shared" ca="1" si="11"/>
        <v>45684</v>
      </c>
    </row>
    <row r="123" spans="1:7" x14ac:dyDescent="0.2">
      <c r="A123" t="s">
        <v>127</v>
      </c>
      <c r="B123" t="str">
        <f t="shared" ca="1" si="7"/>
        <v>GC_02</v>
      </c>
      <c r="C123">
        <f t="shared" ca="1" si="8"/>
        <v>3.61</v>
      </c>
      <c r="D123">
        <f t="shared" ca="1" si="9"/>
        <v>9529</v>
      </c>
      <c r="E123">
        <f t="shared" ca="1" si="6"/>
        <v>7.2136329256880405E-2</v>
      </c>
      <c r="F123">
        <f t="shared" ca="1" si="10"/>
        <v>0.95</v>
      </c>
      <c r="G123" s="2">
        <f t="shared" ca="1" si="11"/>
        <v>45729</v>
      </c>
    </row>
    <row r="124" spans="1:7" x14ac:dyDescent="0.2">
      <c r="A124" t="s">
        <v>128</v>
      </c>
      <c r="B124" t="str">
        <f t="shared" ca="1" si="7"/>
        <v>GC_02</v>
      </c>
      <c r="C124">
        <f t="shared" ca="1" si="8"/>
        <v>3.52</v>
      </c>
      <c r="D124">
        <f t="shared" ca="1" si="9"/>
        <v>9553</v>
      </c>
      <c r="E124">
        <f t="shared" ca="1" si="6"/>
        <v>8.3602724154131891E-2</v>
      </c>
      <c r="F124">
        <f t="shared" ca="1" si="10"/>
        <v>0.96</v>
      </c>
      <c r="G124" s="2">
        <f t="shared" ca="1" si="11"/>
        <v>45709</v>
      </c>
    </row>
    <row r="125" spans="1:7" x14ac:dyDescent="0.2">
      <c r="A125" t="s">
        <v>129</v>
      </c>
      <c r="B125" t="str">
        <f t="shared" ca="1" si="7"/>
        <v>GC_02</v>
      </c>
      <c r="C125">
        <f t="shared" ca="1" si="8"/>
        <v>3.67</v>
      </c>
      <c r="D125">
        <f t="shared" ca="1" si="9"/>
        <v>9780</v>
      </c>
      <c r="E125">
        <f t="shared" ca="1" si="6"/>
        <v>7.254324968036123E-2</v>
      </c>
      <c r="F125">
        <f t="shared" ca="1" si="10"/>
        <v>0.98</v>
      </c>
      <c r="G125" s="2">
        <f t="shared" ca="1" si="11"/>
        <v>45702</v>
      </c>
    </row>
    <row r="126" spans="1:7" x14ac:dyDescent="0.2">
      <c r="A126" t="s">
        <v>130</v>
      </c>
      <c r="B126" t="str">
        <f t="shared" ca="1" si="7"/>
        <v>HPLC_01</v>
      </c>
      <c r="C126">
        <f t="shared" ca="1" si="8"/>
        <v>5.41</v>
      </c>
      <c r="D126">
        <f t="shared" ca="1" si="9"/>
        <v>10487</v>
      </c>
      <c r="E126">
        <f t="shared" ca="1" si="6"/>
        <v>0.10812737843897739</v>
      </c>
      <c r="F126">
        <f t="shared" ca="1" si="10"/>
        <v>1.05</v>
      </c>
      <c r="G126" s="2">
        <f t="shared" ca="1" si="11"/>
        <v>45695</v>
      </c>
    </row>
    <row r="127" spans="1:7" x14ac:dyDescent="0.2">
      <c r="A127" t="s">
        <v>131</v>
      </c>
      <c r="B127" t="str">
        <f t="shared" ca="1" si="7"/>
        <v>GC_02</v>
      </c>
      <c r="C127">
        <f t="shared" ca="1" si="8"/>
        <v>3.63</v>
      </c>
      <c r="D127">
        <f t="shared" ca="1" si="9"/>
        <v>10024</v>
      </c>
      <c r="E127">
        <f t="shared" ca="1" si="6"/>
        <v>9.1332598487688085E-2</v>
      </c>
      <c r="F127">
        <f t="shared" ca="1" si="10"/>
        <v>1</v>
      </c>
      <c r="G127" s="2">
        <f t="shared" ca="1" si="11"/>
        <v>45658</v>
      </c>
    </row>
    <row r="128" spans="1:7" x14ac:dyDescent="0.2">
      <c r="A128" t="s">
        <v>132</v>
      </c>
      <c r="B128" t="str">
        <f t="shared" ca="1" si="7"/>
        <v>HPLC_01</v>
      </c>
      <c r="C128">
        <f t="shared" ca="1" si="8"/>
        <v>5.35</v>
      </c>
      <c r="D128">
        <f t="shared" ca="1" si="9"/>
        <v>10551</v>
      </c>
      <c r="E128">
        <f t="shared" ca="1" si="6"/>
        <v>0.10485681101563094</v>
      </c>
      <c r="F128">
        <f t="shared" ca="1" si="10"/>
        <v>1.06</v>
      </c>
      <c r="G128" s="2">
        <f t="shared" ca="1" si="11"/>
        <v>45714</v>
      </c>
    </row>
    <row r="129" spans="1:7" x14ac:dyDescent="0.2">
      <c r="A129" t="s">
        <v>133</v>
      </c>
      <c r="B129" t="str">
        <f t="shared" ca="1" si="7"/>
        <v>HPLC_01</v>
      </c>
      <c r="C129">
        <f t="shared" ca="1" si="8"/>
        <v>5.31</v>
      </c>
      <c r="D129">
        <f t="shared" ca="1" si="9"/>
        <v>10635</v>
      </c>
      <c r="E129">
        <f t="shared" ca="1" si="6"/>
        <v>9.8404626749548474E-2</v>
      </c>
      <c r="F129">
        <f t="shared" ca="1" si="10"/>
        <v>1.06</v>
      </c>
      <c r="G129" s="2">
        <f t="shared" ca="1" si="11"/>
        <v>45664</v>
      </c>
    </row>
    <row r="130" spans="1:7" x14ac:dyDescent="0.2">
      <c r="A130" t="s">
        <v>134</v>
      </c>
      <c r="B130" t="str">
        <f t="shared" ca="1" si="7"/>
        <v>GC_02</v>
      </c>
      <c r="C130">
        <f t="shared" ca="1" si="8"/>
        <v>3.54</v>
      </c>
      <c r="D130">
        <f t="shared" ca="1" si="9"/>
        <v>9978</v>
      </c>
      <c r="E130">
        <f t="shared" ca="1" si="6"/>
        <v>6.6213197854496281E-2</v>
      </c>
      <c r="F130">
        <f t="shared" ca="1" si="10"/>
        <v>1</v>
      </c>
      <c r="G130" s="2">
        <f t="shared" ca="1" si="11"/>
        <v>45661</v>
      </c>
    </row>
    <row r="131" spans="1:7" x14ac:dyDescent="0.2">
      <c r="A131" t="s">
        <v>135</v>
      </c>
      <c r="B131" t="str">
        <f t="shared" ca="1" si="7"/>
        <v>HPLC_01</v>
      </c>
      <c r="C131">
        <f t="shared" ca="1" si="8"/>
        <v>5.05</v>
      </c>
      <c r="D131">
        <f t="shared" ca="1" si="9"/>
        <v>10437</v>
      </c>
      <c r="E131">
        <f t="shared" ref="E131:E194" ca="1" si="12">MAX(0.03, 0.03 + 0.015 * C131 + _xlfn.NORM.S.INV(RAND()) * 0.01)</f>
        <v>0.10355740578272479</v>
      </c>
      <c r="F131">
        <f t="shared" ca="1" si="10"/>
        <v>1.04</v>
      </c>
      <c r="G131" s="2">
        <f t="shared" ca="1" si="11"/>
        <v>45720</v>
      </c>
    </row>
    <row r="132" spans="1:7" x14ac:dyDescent="0.2">
      <c r="A132" t="s">
        <v>136</v>
      </c>
      <c r="B132" t="str">
        <f t="shared" ca="1" si="7"/>
        <v>HPLC_01</v>
      </c>
      <c r="C132">
        <f t="shared" ca="1" si="8"/>
        <v>5.12</v>
      </c>
      <c r="D132">
        <f t="shared" ca="1" si="9"/>
        <v>10277</v>
      </c>
      <c r="E132">
        <f t="shared" ca="1" si="12"/>
        <v>8.522264391835549E-2</v>
      </c>
      <c r="F132">
        <f t="shared" ca="1" si="10"/>
        <v>1.03</v>
      </c>
      <c r="G132" s="2">
        <f t="shared" ca="1" si="11"/>
        <v>45692</v>
      </c>
    </row>
    <row r="133" spans="1:7" x14ac:dyDescent="0.2">
      <c r="A133" t="s">
        <v>137</v>
      </c>
      <c r="B133" t="str">
        <f t="shared" ca="1" si="7"/>
        <v>HPLC_01</v>
      </c>
      <c r="C133">
        <f t="shared" ca="1" si="8"/>
        <v>5.03</v>
      </c>
      <c r="D133">
        <f t="shared" ca="1" si="9"/>
        <v>10319</v>
      </c>
      <c r="E133">
        <f t="shared" ca="1" si="12"/>
        <v>0.10519645410514541</v>
      </c>
      <c r="F133">
        <f t="shared" ca="1" si="10"/>
        <v>1.03</v>
      </c>
      <c r="G133" s="2">
        <f t="shared" ca="1" si="11"/>
        <v>45747</v>
      </c>
    </row>
    <row r="134" spans="1:7" x14ac:dyDescent="0.2">
      <c r="A134" t="s">
        <v>138</v>
      </c>
      <c r="B134" t="str">
        <f t="shared" ref="B134:B197" ca="1" si="13">IF(RAND()&lt;0.5, "HPLC_01", "GC_02")</f>
        <v>GC_02</v>
      </c>
      <c r="C134">
        <f t="shared" ref="C134:C197" ca="1" si="14">IF(B134="HPLC_01",ROUND(5+RAND()*0.5,2),ROUND(3.5+RAND()*0.4,2))</f>
        <v>3.65</v>
      </c>
      <c r="D134">
        <f t="shared" ref="D134:D197" ca="1" si="15">IF(B134="HPLC_01",ROUND(10000+RAND()*800,0),ROUND(9500+RAND()*700,0))</f>
        <v>9694</v>
      </c>
      <c r="E134">
        <f t="shared" ca="1" si="12"/>
        <v>8.178524007637121E-2</v>
      </c>
      <c r="F134">
        <f t="shared" ref="F134:F197" ca="1" si="16">ROUND(D134/10000,2)</f>
        <v>0.97</v>
      </c>
      <c r="G134" s="2">
        <f t="shared" ref="G134:G197" ca="1" si="17">DATE(2025,1,1)+RANDBETWEEN(0,90)</f>
        <v>45745</v>
      </c>
    </row>
    <row r="135" spans="1:7" x14ac:dyDescent="0.2">
      <c r="A135" t="s">
        <v>139</v>
      </c>
      <c r="B135" t="str">
        <f t="shared" ca="1" si="13"/>
        <v>GC_02</v>
      </c>
      <c r="C135">
        <f t="shared" ca="1" si="14"/>
        <v>3.81</v>
      </c>
      <c r="D135">
        <f t="shared" ca="1" si="15"/>
        <v>9742</v>
      </c>
      <c r="E135">
        <f t="shared" ca="1" si="12"/>
        <v>9.6657713008477766E-2</v>
      </c>
      <c r="F135">
        <f t="shared" ca="1" si="16"/>
        <v>0.97</v>
      </c>
      <c r="G135" s="2">
        <f t="shared" ca="1" si="17"/>
        <v>45690</v>
      </c>
    </row>
    <row r="136" spans="1:7" x14ac:dyDescent="0.2">
      <c r="A136" t="s">
        <v>140</v>
      </c>
      <c r="B136" t="str">
        <f t="shared" ca="1" si="13"/>
        <v>HPLC_01</v>
      </c>
      <c r="C136">
        <f t="shared" ca="1" si="14"/>
        <v>5.49</v>
      </c>
      <c r="D136">
        <f t="shared" ca="1" si="15"/>
        <v>10361</v>
      </c>
      <c r="E136">
        <f t="shared" ca="1" si="12"/>
        <v>0.12162077606211261</v>
      </c>
      <c r="F136">
        <f t="shared" ca="1" si="16"/>
        <v>1.04</v>
      </c>
      <c r="G136" s="2">
        <f t="shared" ca="1" si="17"/>
        <v>45719</v>
      </c>
    </row>
    <row r="137" spans="1:7" x14ac:dyDescent="0.2">
      <c r="A137" t="s">
        <v>141</v>
      </c>
      <c r="B137" t="str">
        <f t="shared" ca="1" si="13"/>
        <v>HPLC_01</v>
      </c>
      <c r="C137">
        <f t="shared" ca="1" si="14"/>
        <v>5.07</v>
      </c>
      <c r="D137">
        <f t="shared" ca="1" si="15"/>
        <v>10309</v>
      </c>
      <c r="E137">
        <f t="shared" ca="1" si="12"/>
        <v>0.10722289162855467</v>
      </c>
      <c r="F137">
        <f t="shared" ca="1" si="16"/>
        <v>1.03</v>
      </c>
      <c r="G137" s="2">
        <f t="shared" ca="1" si="17"/>
        <v>45658</v>
      </c>
    </row>
    <row r="138" spans="1:7" x14ac:dyDescent="0.2">
      <c r="A138" t="s">
        <v>142</v>
      </c>
      <c r="B138" t="str">
        <f t="shared" ca="1" si="13"/>
        <v>GC_02</v>
      </c>
      <c r="C138">
        <f t="shared" ca="1" si="14"/>
        <v>3.58</v>
      </c>
      <c r="D138">
        <f t="shared" ca="1" si="15"/>
        <v>9627</v>
      </c>
      <c r="E138">
        <f t="shared" ca="1" si="12"/>
        <v>9.9596385732715231E-2</v>
      </c>
      <c r="F138">
        <f t="shared" ca="1" si="16"/>
        <v>0.96</v>
      </c>
      <c r="G138" s="2">
        <f t="shared" ca="1" si="17"/>
        <v>45712</v>
      </c>
    </row>
    <row r="139" spans="1:7" x14ac:dyDescent="0.2">
      <c r="A139" t="s">
        <v>143</v>
      </c>
      <c r="B139" t="str">
        <f t="shared" ca="1" si="13"/>
        <v>GC_02</v>
      </c>
      <c r="C139">
        <f t="shared" ca="1" si="14"/>
        <v>3.57</v>
      </c>
      <c r="D139">
        <f t="shared" ca="1" si="15"/>
        <v>9532</v>
      </c>
      <c r="E139">
        <f t="shared" ca="1" si="12"/>
        <v>9.6280829266021856E-2</v>
      </c>
      <c r="F139">
        <f t="shared" ca="1" si="16"/>
        <v>0.95</v>
      </c>
      <c r="G139" s="2">
        <f t="shared" ca="1" si="17"/>
        <v>45694</v>
      </c>
    </row>
    <row r="140" spans="1:7" x14ac:dyDescent="0.2">
      <c r="A140" t="s">
        <v>144</v>
      </c>
      <c r="B140" t="str">
        <f t="shared" ca="1" si="13"/>
        <v>HPLC_01</v>
      </c>
      <c r="C140">
        <f t="shared" ca="1" si="14"/>
        <v>5.04</v>
      </c>
      <c r="D140">
        <f t="shared" ca="1" si="15"/>
        <v>10137</v>
      </c>
      <c r="E140">
        <f t="shared" ca="1" si="12"/>
        <v>0.10695697640846508</v>
      </c>
      <c r="F140">
        <f t="shared" ca="1" si="16"/>
        <v>1.01</v>
      </c>
      <c r="G140" s="2">
        <f t="shared" ca="1" si="17"/>
        <v>45737</v>
      </c>
    </row>
    <row r="141" spans="1:7" x14ac:dyDescent="0.2">
      <c r="A141" t="s">
        <v>145</v>
      </c>
      <c r="B141" t="str">
        <f t="shared" ca="1" si="13"/>
        <v>GC_02</v>
      </c>
      <c r="C141">
        <f t="shared" ca="1" si="14"/>
        <v>3.68</v>
      </c>
      <c r="D141">
        <f t="shared" ca="1" si="15"/>
        <v>9504</v>
      </c>
      <c r="E141">
        <f t="shared" ca="1" si="12"/>
        <v>9.2493663500309783E-2</v>
      </c>
      <c r="F141">
        <f t="shared" ca="1" si="16"/>
        <v>0.95</v>
      </c>
      <c r="G141" s="2">
        <f t="shared" ca="1" si="17"/>
        <v>45686</v>
      </c>
    </row>
    <row r="142" spans="1:7" x14ac:dyDescent="0.2">
      <c r="A142" t="s">
        <v>146</v>
      </c>
      <c r="B142" t="str">
        <f t="shared" ca="1" si="13"/>
        <v>GC_02</v>
      </c>
      <c r="C142">
        <f t="shared" ca="1" si="14"/>
        <v>3.53</v>
      </c>
      <c r="D142">
        <f t="shared" ca="1" si="15"/>
        <v>9929</v>
      </c>
      <c r="E142">
        <f t="shared" ca="1" si="12"/>
        <v>9.0629602989299188E-2</v>
      </c>
      <c r="F142">
        <f t="shared" ca="1" si="16"/>
        <v>0.99</v>
      </c>
      <c r="G142" s="2">
        <f t="shared" ca="1" si="17"/>
        <v>45671</v>
      </c>
    </row>
    <row r="143" spans="1:7" x14ac:dyDescent="0.2">
      <c r="A143" t="s">
        <v>147</v>
      </c>
      <c r="B143" t="str">
        <f t="shared" ca="1" si="13"/>
        <v>HPLC_01</v>
      </c>
      <c r="C143">
        <f t="shared" ca="1" si="14"/>
        <v>5.13</v>
      </c>
      <c r="D143">
        <f t="shared" ca="1" si="15"/>
        <v>10212</v>
      </c>
      <c r="E143">
        <f t="shared" ca="1" si="12"/>
        <v>9.2931299699625075E-2</v>
      </c>
      <c r="F143">
        <f t="shared" ca="1" si="16"/>
        <v>1.02</v>
      </c>
      <c r="G143" s="2">
        <f t="shared" ca="1" si="17"/>
        <v>45662</v>
      </c>
    </row>
    <row r="144" spans="1:7" x14ac:dyDescent="0.2">
      <c r="A144" t="s">
        <v>148</v>
      </c>
      <c r="B144" t="str">
        <f t="shared" ca="1" si="13"/>
        <v>HPLC_01</v>
      </c>
      <c r="C144">
        <f t="shared" ca="1" si="14"/>
        <v>5.32</v>
      </c>
      <c r="D144">
        <f t="shared" ca="1" si="15"/>
        <v>10043</v>
      </c>
      <c r="E144">
        <f t="shared" ca="1" si="12"/>
        <v>0.10405389177393146</v>
      </c>
      <c r="F144">
        <f t="shared" ca="1" si="16"/>
        <v>1</v>
      </c>
      <c r="G144" s="2">
        <f t="shared" ca="1" si="17"/>
        <v>45681</v>
      </c>
    </row>
    <row r="145" spans="1:7" x14ac:dyDescent="0.2">
      <c r="A145" t="s">
        <v>149</v>
      </c>
      <c r="B145" t="str">
        <f t="shared" ca="1" si="13"/>
        <v>GC_02</v>
      </c>
      <c r="C145">
        <f t="shared" ca="1" si="14"/>
        <v>3.69</v>
      </c>
      <c r="D145">
        <f t="shared" ca="1" si="15"/>
        <v>10021</v>
      </c>
      <c r="E145">
        <f t="shared" ca="1" si="12"/>
        <v>9.9060163613649013E-2</v>
      </c>
      <c r="F145">
        <f t="shared" ca="1" si="16"/>
        <v>1</v>
      </c>
      <c r="G145" s="2">
        <f t="shared" ca="1" si="17"/>
        <v>45697</v>
      </c>
    </row>
    <row r="146" spans="1:7" x14ac:dyDescent="0.2">
      <c r="A146" t="s">
        <v>150</v>
      </c>
      <c r="B146" t="str">
        <f t="shared" ca="1" si="13"/>
        <v>HPLC_01</v>
      </c>
      <c r="C146">
        <f t="shared" ca="1" si="14"/>
        <v>5.43</v>
      </c>
      <c r="D146">
        <f t="shared" ca="1" si="15"/>
        <v>10546</v>
      </c>
      <c r="E146">
        <f t="shared" ca="1" si="12"/>
        <v>0.10550439331734107</v>
      </c>
      <c r="F146">
        <f t="shared" ca="1" si="16"/>
        <v>1.05</v>
      </c>
      <c r="G146" s="2">
        <f t="shared" ca="1" si="17"/>
        <v>45696</v>
      </c>
    </row>
    <row r="147" spans="1:7" x14ac:dyDescent="0.2">
      <c r="A147" t="s">
        <v>151</v>
      </c>
      <c r="B147" t="str">
        <f t="shared" ca="1" si="13"/>
        <v>GC_02</v>
      </c>
      <c r="C147">
        <f t="shared" ca="1" si="14"/>
        <v>3.69</v>
      </c>
      <c r="D147">
        <f t="shared" ca="1" si="15"/>
        <v>10113</v>
      </c>
      <c r="E147">
        <f t="shared" ca="1" si="12"/>
        <v>8.8276814867431441E-2</v>
      </c>
      <c r="F147">
        <f t="shared" ca="1" si="16"/>
        <v>1.01</v>
      </c>
      <c r="G147" s="2">
        <f t="shared" ca="1" si="17"/>
        <v>45747</v>
      </c>
    </row>
    <row r="148" spans="1:7" x14ac:dyDescent="0.2">
      <c r="A148" t="s">
        <v>152</v>
      </c>
      <c r="B148" t="str">
        <f t="shared" ca="1" si="13"/>
        <v>GC_02</v>
      </c>
      <c r="C148">
        <f t="shared" ca="1" si="14"/>
        <v>3.53</v>
      </c>
      <c r="D148">
        <f t="shared" ca="1" si="15"/>
        <v>10199</v>
      </c>
      <c r="E148">
        <f t="shared" ca="1" si="12"/>
        <v>8.066021353468833E-2</v>
      </c>
      <c r="F148">
        <f t="shared" ca="1" si="16"/>
        <v>1.02</v>
      </c>
      <c r="G148" s="2">
        <f t="shared" ca="1" si="17"/>
        <v>45727</v>
      </c>
    </row>
    <row r="149" spans="1:7" x14ac:dyDescent="0.2">
      <c r="A149" t="s">
        <v>153</v>
      </c>
      <c r="B149" t="str">
        <f t="shared" ca="1" si="13"/>
        <v>HPLC_01</v>
      </c>
      <c r="C149">
        <f t="shared" ca="1" si="14"/>
        <v>5.42</v>
      </c>
      <c r="D149">
        <f t="shared" ca="1" si="15"/>
        <v>10794</v>
      </c>
      <c r="E149">
        <f t="shared" ca="1" si="12"/>
        <v>9.6293065786271809E-2</v>
      </c>
      <c r="F149">
        <f t="shared" ca="1" si="16"/>
        <v>1.08</v>
      </c>
      <c r="G149" s="2">
        <f t="shared" ca="1" si="17"/>
        <v>45667</v>
      </c>
    </row>
    <row r="150" spans="1:7" x14ac:dyDescent="0.2">
      <c r="A150" t="s">
        <v>154</v>
      </c>
      <c r="B150" t="str">
        <f t="shared" ca="1" si="13"/>
        <v>HPLC_01</v>
      </c>
      <c r="C150">
        <f t="shared" ca="1" si="14"/>
        <v>5.23</v>
      </c>
      <c r="D150">
        <f t="shared" ca="1" si="15"/>
        <v>10583</v>
      </c>
      <c r="E150">
        <f t="shared" ca="1" si="12"/>
        <v>0.10255981766446078</v>
      </c>
      <c r="F150">
        <f t="shared" ca="1" si="16"/>
        <v>1.06</v>
      </c>
      <c r="G150" s="2">
        <f t="shared" ca="1" si="17"/>
        <v>45675</v>
      </c>
    </row>
    <row r="151" spans="1:7" x14ac:dyDescent="0.2">
      <c r="A151" t="s">
        <v>155</v>
      </c>
      <c r="B151" t="str">
        <f t="shared" ca="1" si="13"/>
        <v>GC_02</v>
      </c>
      <c r="C151">
        <f t="shared" ca="1" si="14"/>
        <v>3.65</v>
      </c>
      <c r="D151">
        <f t="shared" ca="1" si="15"/>
        <v>9864</v>
      </c>
      <c r="E151">
        <f t="shared" ca="1" si="12"/>
        <v>8.5002981479047779E-2</v>
      </c>
      <c r="F151">
        <f t="shared" ca="1" si="16"/>
        <v>0.99</v>
      </c>
      <c r="G151" s="2">
        <f t="shared" ca="1" si="17"/>
        <v>45673</v>
      </c>
    </row>
    <row r="152" spans="1:7" x14ac:dyDescent="0.2">
      <c r="A152" t="s">
        <v>156</v>
      </c>
      <c r="B152" t="str">
        <f t="shared" ca="1" si="13"/>
        <v>HPLC_01</v>
      </c>
      <c r="C152">
        <f t="shared" ca="1" si="14"/>
        <v>5.2</v>
      </c>
      <c r="D152">
        <f t="shared" ca="1" si="15"/>
        <v>10616</v>
      </c>
      <c r="E152">
        <f t="shared" ca="1" si="12"/>
        <v>0.1002086098465557</v>
      </c>
      <c r="F152">
        <f t="shared" ca="1" si="16"/>
        <v>1.06</v>
      </c>
      <c r="G152" s="2">
        <f t="shared" ca="1" si="17"/>
        <v>45717</v>
      </c>
    </row>
    <row r="153" spans="1:7" x14ac:dyDescent="0.2">
      <c r="A153" t="s">
        <v>157</v>
      </c>
      <c r="B153" t="str">
        <f t="shared" ca="1" si="13"/>
        <v>HPLC_01</v>
      </c>
      <c r="C153">
        <f t="shared" ca="1" si="14"/>
        <v>5.45</v>
      </c>
      <c r="D153">
        <f t="shared" ca="1" si="15"/>
        <v>10035</v>
      </c>
      <c r="E153">
        <f t="shared" ca="1" si="12"/>
        <v>0.11318164175766116</v>
      </c>
      <c r="F153">
        <f t="shared" ca="1" si="16"/>
        <v>1</v>
      </c>
      <c r="G153" s="2">
        <f t="shared" ca="1" si="17"/>
        <v>45736</v>
      </c>
    </row>
    <row r="154" spans="1:7" x14ac:dyDescent="0.2">
      <c r="A154" t="s">
        <v>158</v>
      </c>
      <c r="B154" t="str">
        <f t="shared" ca="1" si="13"/>
        <v>GC_02</v>
      </c>
      <c r="C154">
        <f t="shared" ca="1" si="14"/>
        <v>3.61</v>
      </c>
      <c r="D154">
        <f t="shared" ca="1" si="15"/>
        <v>10093</v>
      </c>
      <c r="E154">
        <f t="shared" ca="1" si="12"/>
        <v>8.3309270131803365E-2</v>
      </c>
      <c r="F154">
        <f t="shared" ca="1" si="16"/>
        <v>1.01</v>
      </c>
      <c r="G154" s="2">
        <f t="shared" ca="1" si="17"/>
        <v>45747</v>
      </c>
    </row>
    <row r="155" spans="1:7" x14ac:dyDescent="0.2">
      <c r="A155" t="s">
        <v>159</v>
      </c>
      <c r="B155" t="str">
        <f t="shared" ca="1" si="13"/>
        <v>GC_02</v>
      </c>
      <c r="C155">
        <f t="shared" ca="1" si="14"/>
        <v>3.89</v>
      </c>
      <c r="D155">
        <f t="shared" ca="1" si="15"/>
        <v>9663</v>
      </c>
      <c r="E155">
        <f t="shared" ca="1" si="12"/>
        <v>0.10735748026260652</v>
      </c>
      <c r="F155">
        <f t="shared" ca="1" si="16"/>
        <v>0.97</v>
      </c>
      <c r="G155" s="2">
        <f t="shared" ca="1" si="17"/>
        <v>45659</v>
      </c>
    </row>
    <row r="156" spans="1:7" x14ac:dyDescent="0.2">
      <c r="A156" t="s">
        <v>160</v>
      </c>
      <c r="B156" t="str">
        <f t="shared" ca="1" si="13"/>
        <v>HPLC_01</v>
      </c>
      <c r="C156">
        <f t="shared" ca="1" si="14"/>
        <v>5.49</v>
      </c>
      <c r="D156">
        <f t="shared" ca="1" si="15"/>
        <v>10593</v>
      </c>
      <c r="E156">
        <f t="shared" ca="1" si="12"/>
        <v>0.10454528719438222</v>
      </c>
      <c r="F156">
        <f t="shared" ca="1" si="16"/>
        <v>1.06</v>
      </c>
      <c r="G156" s="2">
        <f t="shared" ca="1" si="17"/>
        <v>45708</v>
      </c>
    </row>
    <row r="157" spans="1:7" x14ac:dyDescent="0.2">
      <c r="A157" t="s">
        <v>161</v>
      </c>
      <c r="B157" t="str">
        <f t="shared" ca="1" si="13"/>
        <v>HPLC_01</v>
      </c>
      <c r="C157">
        <f t="shared" ca="1" si="14"/>
        <v>5.25</v>
      </c>
      <c r="D157">
        <f t="shared" ca="1" si="15"/>
        <v>10322</v>
      </c>
      <c r="E157">
        <f t="shared" ca="1" si="12"/>
        <v>0.10411559797178055</v>
      </c>
      <c r="F157">
        <f t="shared" ca="1" si="16"/>
        <v>1.03</v>
      </c>
      <c r="G157" s="2">
        <f t="shared" ca="1" si="17"/>
        <v>45732</v>
      </c>
    </row>
    <row r="158" spans="1:7" x14ac:dyDescent="0.2">
      <c r="A158" t="s">
        <v>162</v>
      </c>
      <c r="B158" t="str">
        <f t="shared" ca="1" si="13"/>
        <v>HPLC_01</v>
      </c>
      <c r="C158">
        <f t="shared" ca="1" si="14"/>
        <v>5.43</v>
      </c>
      <c r="D158">
        <f t="shared" ca="1" si="15"/>
        <v>10151</v>
      </c>
      <c r="E158">
        <f t="shared" ca="1" si="12"/>
        <v>0.10852571808906222</v>
      </c>
      <c r="F158">
        <f t="shared" ca="1" si="16"/>
        <v>1.02</v>
      </c>
      <c r="G158" s="2">
        <f t="shared" ca="1" si="17"/>
        <v>45741</v>
      </c>
    </row>
    <row r="159" spans="1:7" x14ac:dyDescent="0.2">
      <c r="A159" t="s">
        <v>163</v>
      </c>
      <c r="B159" t="str">
        <f t="shared" ca="1" si="13"/>
        <v>GC_02</v>
      </c>
      <c r="C159">
        <f t="shared" ca="1" si="14"/>
        <v>3.67</v>
      </c>
      <c r="D159">
        <f t="shared" ca="1" si="15"/>
        <v>9874</v>
      </c>
      <c r="E159">
        <f t="shared" ca="1" si="12"/>
        <v>7.8397047800834285E-2</v>
      </c>
      <c r="F159">
        <f t="shared" ca="1" si="16"/>
        <v>0.99</v>
      </c>
      <c r="G159" s="2">
        <f t="shared" ca="1" si="17"/>
        <v>45734</v>
      </c>
    </row>
    <row r="160" spans="1:7" x14ac:dyDescent="0.2">
      <c r="A160" t="s">
        <v>164</v>
      </c>
      <c r="B160" t="str">
        <f t="shared" ca="1" si="13"/>
        <v>GC_02</v>
      </c>
      <c r="C160">
        <f t="shared" ca="1" si="14"/>
        <v>3.83</v>
      </c>
      <c r="D160">
        <f t="shared" ca="1" si="15"/>
        <v>10105</v>
      </c>
      <c r="E160">
        <f t="shared" ca="1" si="12"/>
        <v>8.3215607409839187E-2</v>
      </c>
      <c r="F160">
        <f t="shared" ca="1" si="16"/>
        <v>1.01</v>
      </c>
      <c r="G160" s="2">
        <f t="shared" ca="1" si="17"/>
        <v>45721</v>
      </c>
    </row>
    <row r="161" spans="1:7" x14ac:dyDescent="0.2">
      <c r="A161" t="s">
        <v>165</v>
      </c>
      <c r="B161" t="str">
        <f t="shared" ca="1" si="13"/>
        <v>HPLC_01</v>
      </c>
      <c r="C161">
        <f t="shared" ca="1" si="14"/>
        <v>5.49</v>
      </c>
      <c r="D161">
        <f t="shared" ca="1" si="15"/>
        <v>10268</v>
      </c>
      <c r="E161">
        <f t="shared" ca="1" si="12"/>
        <v>0.11400756463705643</v>
      </c>
      <c r="F161">
        <f t="shared" ca="1" si="16"/>
        <v>1.03</v>
      </c>
      <c r="G161" s="2">
        <f t="shared" ca="1" si="17"/>
        <v>45709</v>
      </c>
    </row>
    <row r="162" spans="1:7" x14ac:dyDescent="0.2">
      <c r="A162" t="s">
        <v>166</v>
      </c>
      <c r="B162" t="str">
        <f t="shared" ca="1" si="13"/>
        <v>GC_02</v>
      </c>
      <c r="C162">
        <f t="shared" ca="1" si="14"/>
        <v>3.73</v>
      </c>
      <c r="D162">
        <f t="shared" ca="1" si="15"/>
        <v>9674</v>
      </c>
      <c r="E162">
        <f t="shared" ca="1" si="12"/>
        <v>8.6731001406519709E-2</v>
      </c>
      <c r="F162">
        <f t="shared" ca="1" si="16"/>
        <v>0.97</v>
      </c>
      <c r="G162" s="2">
        <f t="shared" ca="1" si="17"/>
        <v>45681</v>
      </c>
    </row>
    <row r="163" spans="1:7" x14ac:dyDescent="0.2">
      <c r="A163" t="s">
        <v>167</v>
      </c>
      <c r="B163" t="str">
        <f t="shared" ca="1" si="13"/>
        <v>GC_02</v>
      </c>
      <c r="C163">
        <f t="shared" ca="1" si="14"/>
        <v>3.67</v>
      </c>
      <c r="D163">
        <f t="shared" ca="1" si="15"/>
        <v>9559</v>
      </c>
      <c r="E163">
        <f t="shared" ca="1" si="12"/>
        <v>7.8695294203739871E-2</v>
      </c>
      <c r="F163">
        <f t="shared" ca="1" si="16"/>
        <v>0.96</v>
      </c>
      <c r="G163" s="2">
        <f t="shared" ca="1" si="17"/>
        <v>45747</v>
      </c>
    </row>
    <row r="164" spans="1:7" x14ac:dyDescent="0.2">
      <c r="A164" t="s">
        <v>168</v>
      </c>
      <c r="B164" t="str">
        <f t="shared" ca="1" si="13"/>
        <v>GC_02</v>
      </c>
      <c r="C164">
        <f t="shared" ca="1" si="14"/>
        <v>3.74</v>
      </c>
      <c r="D164">
        <f t="shared" ca="1" si="15"/>
        <v>9752</v>
      </c>
      <c r="E164">
        <f t="shared" ca="1" si="12"/>
        <v>9.7192288921151088E-2</v>
      </c>
      <c r="F164">
        <f t="shared" ca="1" si="16"/>
        <v>0.98</v>
      </c>
      <c r="G164" s="2">
        <f t="shared" ca="1" si="17"/>
        <v>45700</v>
      </c>
    </row>
    <row r="165" spans="1:7" x14ac:dyDescent="0.2">
      <c r="A165" t="s">
        <v>169</v>
      </c>
      <c r="B165" t="str">
        <f t="shared" ca="1" si="13"/>
        <v>GC_02</v>
      </c>
      <c r="C165">
        <f t="shared" ca="1" si="14"/>
        <v>3.8</v>
      </c>
      <c r="D165">
        <f t="shared" ca="1" si="15"/>
        <v>9904</v>
      </c>
      <c r="E165">
        <f t="shared" ca="1" si="12"/>
        <v>8.6212762826007858E-2</v>
      </c>
      <c r="F165">
        <f t="shared" ca="1" si="16"/>
        <v>0.99</v>
      </c>
      <c r="G165" s="2">
        <f t="shared" ca="1" si="17"/>
        <v>45709</v>
      </c>
    </row>
    <row r="166" spans="1:7" x14ac:dyDescent="0.2">
      <c r="A166" t="s">
        <v>170</v>
      </c>
      <c r="B166" t="str">
        <f t="shared" ca="1" si="13"/>
        <v>HPLC_01</v>
      </c>
      <c r="C166">
        <f t="shared" ca="1" si="14"/>
        <v>5.07</v>
      </c>
      <c r="D166">
        <f t="shared" ca="1" si="15"/>
        <v>10373</v>
      </c>
      <c r="E166">
        <f t="shared" ca="1" si="12"/>
        <v>0.1113093271620878</v>
      </c>
      <c r="F166">
        <f t="shared" ca="1" si="16"/>
        <v>1.04</v>
      </c>
      <c r="G166" s="2">
        <f t="shared" ca="1" si="17"/>
        <v>45679</v>
      </c>
    </row>
    <row r="167" spans="1:7" x14ac:dyDescent="0.2">
      <c r="A167" t="s">
        <v>171</v>
      </c>
      <c r="B167" t="str">
        <f t="shared" ca="1" si="13"/>
        <v>HPLC_01</v>
      </c>
      <c r="C167">
        <f t="shared" ca="1" si="14"/>
        <v>5.34</v>
      </c>
      <c r="D167">
        <f t="shared" ca="1" si="15"/>
        <v>10739</v>
      </c>
      <c r="E167">
        <f t="shared" ca="1" si="12"/>
        <v>0.1250659567529403</v>
      </c>
      <c r="F167">
        <f t="shared" ca="1" si="16"/>
        <v>1.07</v>
      </c>
      <c r="G167" s="2">
        <f t="shared" ca="1" si="17"/>
        <v>45712</v>
      </c>
    </row>
    <row r="168" spans="1:7" x14ac:dyDescent="0.2">
      <c r="A168" t="s">
        <v>172</v>
      </c>
      <c r="B168" t="str">
        <f t="shared" ca="1" si="13"/>
        <v>HPLC_01</v>
      </c>
      <c r="C168">
        <f t="shared" ca="1" si="14"/>
        <v>5.12</v>
      </c>
      <c r="D168">
        <f t="shared" ca="1" si="15"/>
        <v>10242</v>
      </c>
      <c r="E168">
        <f t="shared" ca="1" si="12"/>
        <v>0.11404641594088785</v>
      </c>
      <c r="F168">
        <f t="shared" ca="1" si="16"/>
        <v>1.02</v>
      </c>
      <c r="G168" s="2">
        <f t="shared" ca="1" si="17"/>
        <v>45742</v>
      </c>
    </row>
    <row r="169" spans="1:7" x14ac:dyDescent="0.2">
      <c r="A169" t="s">
        <v>173</v>
      </c>
      <c r="B169" t="str">
        <f t="shared" ca="1" si="13"/>
        <v>HPLC_01</v>
      </c>
      <c r="C169">
        <f t="shared" ca="1" si="14"/>
        <v>5.12</v>
      </c>
      <c r="D169">
        <f t="shared" ca="1" si="15"/>
        <v>10254</v>
      </c>
      <c r="E169">
        <f t="shared" ca="1" si="12"/>
        <v>0.10359602517672638</v>
      </c>
      <c r="F169">
        <f t="shared" ca="1" si="16"/>
        <v>1.03</v>
      </c>
      <c r="G169" s="2">
        <f t="shared" ca="1" si="17"/>
        <v>45680</v>
      </c>
    </row>
    <row r="170" spans="1:7" x14ac:dyDescent="0.2">
      <c r="A170" t="s">
        <v>174</v>
      </c>
      <c r="B170" t="str">
        <f t="shared" ca="1" si="13"/>
        <v>HPLC_01</v>
      </c>
      <c r="C170">
        <f t="shared" ca="1" si="14"/>
        <v>5.1100000000000003</v>
      </c>
      <c r="D170">
        <f t="shared" ca="1" si="15"/>
        <v>10227</v>
      </c>
      <c r="E170">
        <f t="shared" ca="1" si="12"/>
        <v>0.10129537147921858</v>
      </c>
      <c r="F170">
        <f t="shared" ca="1" si="16"/>
        <v>1.02</v>
      </c>
      <c r="G170" s="2">
        <f t="shared" ca="1" si="17"/>
        <v>45692</v>
      </c>
    </row>
    <row r="171" spans="1:7" x14ac:dyDescent="0.2">
      <c r="A171" t="s">
        <v>175</v>
      </c>
      <c r="B171" t="str">
        <f t="shared" ca="1" si="13"/>
        <v>GC_02</v>
      </c>
      <c r="C171">
        <f t="shared" ca="1" si="14"/>
        <v>3.5</v>
      </c>
      <c r="D171">
        <f t="shared" ca="1" si="15"/>
        <v>9835</v>
      </c>
      <c r="E171">
        <f t="shared" ca="1" si="12"/>
        <v>8.7223188839079424E-2</v>
      </c>
      <c r="F171">
        <f t="shared" ca="1" si="16"/>
        <v>0.98</v>
      </c>
      <c r="G171" s="2">
        <f t="shared" ca="1" si="17"/>
        <v>45701</v>
      </c>
    </row>
    <row r="172" spans="1:7" x14ac:dyDescent="0.2">
      <c r="A172" t="s">
        <v>176</v>
      </c>
      <c r="B172" t="str">
        <f t="shared" ca="1" si="13"/>
        <v>GC_02</v>
      </c>
      <c r="C172">
        <f t="shared" ca="1" si="14"/>
        <v>3.73</v>
      </c>
      <c r="D172">
        <f t="shared" ca="1" si="15"/>
        <v>9598</v>
      </c>
      <c r="E172">
        <f t="shared" ca="1" si="12"/>
        <v>9.3951009192414364E-2</v>
      </c>
      <c r="F172">
        <f t="shared" ca="1" si="16"/>
        <v>0.96</v>
      </c>
      <c r="G172" s="2">
        <f t="shared" ca="1" si="17"/>
        <v>45739</v>
      </c>
    </row>
    <row r="173" spans="1:7" x14ac:dyDescent="0.2">
      <c r="A173" t="s">
        <v>177</v>
      </c>
      <c r="B173" t="str">
        <f t="shared" ca="1" si="13"/>
        <v>GC_02</v>
      </c>
      <c r="C173">
        <f t="shared" ca="1" si="14"/>
        <v>3.56</v>
      </c>
      <c r="D173">
        <f t="shared" ca="1" si="15"/>
        <v>10101</v>
      </c>
      <c r="E173">
        <f t="shared" ca="1" si="12"/>
        <v>7.3578825865891914E-2</v>
      </c>
      <c r="F173">
        <f t="shared" ca="1" si="16"/>
        <v>1.01</v>
      </c>
      <c r="G173" s="2">
        <f t="shared" ca="1" si="17"/>
        <v>45723</v>
      </c>
    </row>
    <row r="174" spans="1:7" x14ac:dyDescent="0.2">
      <c r="A174" t="s">
        <v>178</v>
      </c>
      <c r="B174" t="str">
        <f t="shared" ca="1" si="13"/>
        <v>HPLC_01</v>
      </c>
      <c r="C174">
        <f t="shared" ca="1" si="14"/>
        <v>5.39</v>
      </c>
      <c r="D174">
        <f t="shared" ca="1" si="15"/>
        <v>10495</v>
      </c>
      <c r="E174">
        <f t="shared" ca="1" si="12"/>
        <v>0.11218688736759724</v>
      </c>
      <c r="F174">
        <f t="shared" ca="1" si="16"/>
        <v>1.05</v>
      </c>
      <c r="G174" s="2">
        <f t="shared" ca="1" si="17"/>
        <v>45713</v>
      </c>
    </row>
    <row r="175" spans="1:7" x14ac:dyDescent="0.2">
      <c r="A175" t="s">
        <v>179</v>
      </c>
      <c r="B175" t="str">
        <f t="shared" ca="1" si="13"/>
        <v>GC_02</v>
      </c>
      <c r="C175">
        <f t="shared" ca="1" si="14"/>
        <v>3.89</v>
      </c>
      <c r="D175">
        <f t="shared" ca="1" si="15"/>
        <v>10108</v>
      </c>
      <c r="E175">
        <f t="shared" ca="1" si="12"/>
        <v>9.7377968443505256E-2</v>
      </c>
      <c r="F175">
        <f t="shared" ca="1" si="16"/>
        <v>1.01</v>
      </c>
      <c r="G175" s="2">
        <f t="shared" ca="1" si="17"/>
        <v>45702</v>
      </c>
    </row>
    <row r="176" spans="1:7" x14ac:dyDescent="0.2">
      <c r="A176" t="s">
        <v>180</v>
      </c>
      <c r="B176" t="str">
        <f t="shared" ca="1" si="13"/>
        <v>GC_02</v>
      </c>
      <c r="C176">
        <f t="shared" ca="1" si="14"/>
        <v>3.52</v>
      </c>
      <c r="D176">
        <f t="shared" ca="1" si="15"/>
        <v>9731</v>
      </c>
      <c r="E176">
        <f t="shared" ca="1" si="12"/>
        <v>9.0608145110270127E-2</v>
      </c>
      <c r="F176">
        <f t="shared" ca="1" si="16"/>
        <v>0.97</v>
      </c>
      <c r="G176" s="2">
        <f t="shared" ca="1" si="17"/>
        <v>45671</v>
      </c>
    </row>
    <row r="177" spans="1:7" x14ac:dyDescent="0.2">
      <c r="A177" t="s">
        <v>181</v>
      </c>
      <c r="B177" t="str">
        <f t="shared" ca="1" si="13"/>
        <v>HPLC_01</v>
      </c>
      <c r="C177">
        <f t="shared" ca="1" si="14"/>
        <v>5.0999999999999996</v>
      </c>
      <c r="D177">
        <f t="shared" ca="1" si="15"/>
        <v>10523</v>
      </c>
      <c r="E177">
        <f t="shared" ca="1" si="12"/>
        <v>0.1340340462612897</v>
      </c>
      <c r="F177">
        <f t="shared" ca="1" si="16"/>
        <v>1.05</v>
      </c>
      <c r="G177" s="2">
        <f t="shared" ca="1" si="17"/>
        <v>45744</v>
      </c>
    </row>
    <row r="178" spans="1:7" x14ac:dyDescent="0.2">
      <c r="A178" t="s">
        <v>182</v>
      </c>
      <c r="B178" t="str">
        <f t="shared" ca="1" si="13"/>
        <v>GC_02</v>
      </c>
      <c r="C178">
        <f t="shared" ca="1" si="14"/>
        <v>3.74</v>
      </c>
      <c r="D178">
        <f t="shared" ca="1" si="15"/>
        <v>9590</v>
      </c>
      <c r="E178">
        <f t="shared" ca="1" si="12"/>
        <v>8.0604884609098371E-2</v>
      </c>
      <c r="F178">
        <f t="shared" ca="1" si="16"/>
        <v>0.96</v>
      </c>
      <c r="G178" s="2">
        <f t="shared" ca="1" si="17"/>
        <v>45746</v>
      </c>
    </row>
    <row r="179" spans="1:7" x14ac:dyDescent="0.2">
      <c r="A179" t="s">
        <v>183</v>
      </c>
      <c r="B179" t="str">
        <f t="shared" ca="1" si="13"/>
        <v>GC_02</v>
      </c>
      <c r="C179">
        <f t="shared" ca="1" si="14"/>
        <v>3.54</v>
      </c>
      <c r="D179">
        <f t="shared" ca="1" si="15"/>
        <v>10127</v>
      </c>
      <c r="E179">
        <f t="shared" ca="1" si="12"/>
        <v>7.6025050242579217E-2</v>
      </c>
      <c r="F179">
        <f t="shared" ca="1" si="16"/>
        <v>1.01</v>
      </c>
      <c r="G179" s="2">
        <f t="shared" ca="1" si="17"/>
        <v>45665</v>
      </c>
    </row>
    <row r="180" spans="1:7" x14ac:dyDescent="0.2">
      <c r="A180" t="s">
        <v>184</v>
      </c>
      <c r="B180" t="str">
        <f t="shared" ca="1" si="13"/>
        <v>HPLC_01</v>
      </c>
      <c r="C180">
        <f t="shared" ca="1" si="14"/>
        <v>5.31</v>
      </c>
      <c r="D180">
        <f t="shared" ca="1" si="15"/>
        <v>10097</v>
      </c>
      <c r="E180">
        <f t="shared" ca="1" si="12"/>
        <v>0.12456012379936257</v>
      </c>
      <c r="F180">
        <f t="shared" ca="1" si="16"/>
        <v>1.01</v>
      </c>
      <c r="G180" s="2">
        <f t="shared" ca="1" si="17"/>
        <v>45678</v>
      </c>
    </row>
    <row r="181" spans="1:7" x14ac:dyDescent="0.2">
      <c r="A181" t="s">
        <v>185</v>
      </c>
      <c r="B181" t="str">
        <f t="shared" ca="1" si="13"/>
        <v>GC_02</v>
      </c>
      <c r="C181">
        <f t="shared" ca="1" si="14"/>
        <v>3.51</v>
      </c>
      <c r="D181">
        <f t="shared" ca="1" si="15"/>
        <v>10132</v>
      </c>
      <c r="E181">
        <f t="shared" ca="1" si="12"/>
        <v>9.0972083213532395E-2</v>
      </c>
      <c r="F181">
        <f t="shared" ca="1" si="16"/>
        <v>1.01</v>
      </c>
      <c r="G181" s="2">
        <f t="shared" ca="1" si="17"/>
        <v>45678</v>
      </c>
    </row>
    <row r="182" spans="1:7" x14ac:dyDescent="0.2">
      <c r="A182" t="s">
        <v>186</v>
      </c>
      <c r="B182" t="str">
        <f t="shared" ca="1" si="13"/>
        <v>GC_02</v>
      </c>
      <c r="C182">
        <f t="shared" ca="1" si="14"/>
        <v>3.81</v>
      </c>
      <c r="D182">
        <f t="shared" ca="1" si="15"/>
        <v>9562</v>
      </c>
      <c r="E182">
        <f t="shared" ca="1" si="12"/>
        <v>8.7938064364010762E-2</v>
      </c>
      <c r="F182">
        <f t="shared" ca="1" si="16"/>
        <v>0.96</v>
      </c>
      <c r="G182" s="2">
        <f t="shared" ca="1" si="17"/>
        <v>45715</v>
      </c>
    </row>
    <row r="183" spans="1:7" x14ac:dyDescent="0.2">
      <c r="A183" t="s">
        <v>187</v>
      </c>
      <c r="B183" t="str">
        <f t="shared" ca="1" si="13"/>
        <v>HPLC_01</v>
      </c>
      <c r="C183">
        <f t="shared" ca="1" si="14"/>
        <v>5.49</v>
      </c>
      <c r="D183">
        <f t="shared" ca="1" si="15"/>
        <v>10230</v>
      </c>
      <c r="E183">
        <f t="shared" ca="1" si="12"/>
        <v>0.11551401003354571</v>
      </c>
      <c r="F183">
        <f t="shared" ca="1" si="16"/>
        <v>1.02</v>
      </c>
      <c r="G183" s="2">
        <f t="shared" ca="1" si="17"/>
        <v>45678</v>
      </c>
    </row>
    <row r="184" spans="1:7" x14ac:dyDescent="0.2">
      <c r="A184" t="s">
        <v>188</v>
      </c>
      <c r="B184" t="str">
        <f t="shared" ca="1" si="13"/>
        <v>HPLC_01</v>
      </c>
      <c r="C184">
        <f t="shared" ca="1" si="14"/>
        <v>5.47</v>
      </c>
      <c r="D184">
        <f t="shared" ca="1" si="15"/>
        <v>10396</v>
      </c>
      <c r="E184">
        <f t="shared" ca="1" si="12"/>
        <v>0.12250364183843707</v>
      </c>
      <c r="F184">
        <f t="shared" ca="1" si="16"/>
        <v>1.04</v>
      </c>
      <c r="G184" s="2">
        <f t="shared" ca="1" si="17"/>
        <v>45675</v>
      </c>
    </row>
    <row r="185" spans="1:7" x14ac:dyDescent="0.2">
      <c r="A185" t="s">
        <v>189</v>
      </c>
      <c r="B185" t="str">
        <f t="shared" ca="1" si="13"/>
        <v>GC_02</v>
      </c>
      <c r="C185">
        <f t="shared" ca="1" si="14"/>
        <v>3.53</v>
      </c>
      <c r="D185">
        <f t="shared" ca="1" si="15"/>
        <v>9891</v>
      </c>
      <c r="E185">
        <f t="shared" ca="1" si="12"/>
        <v>0.1060103015922487</v>
      </c>
      <c r="F185">
        <f t="shared" ca="1" si="16"/>
        <v>0.99</v>
      </c>
      <c r="G185" s="2">
        <f t="shared" ca="1" si="17"/>
        <v>45698</v>
      </c>
    </row>
    <row r="186" spans="1:7" x14ac:dyDescent="0.2">
      <c r="A186" t="s">
        <v>190</v>
      </c>
      <c r="B186" t="str">
        <f t="shared" ca="1" si="13"/>
        <v>GC_02</v>
      </c>
      <c r="C186">
        <f t="shared" ca="1" si="14"/>
        <v>3.64</v>
      </c>
      <c r="D186">
        <f t="shared" ca="1" si="15"/>
        <v>9504</v>
      </c>
      <c r="E186">
        <f t="shared" ca="1" si="12"/>
        <v>9.0432972569325837E-2</v>
      </c>
      <c r="F186">
        <f t="shared" ca="1" si="16"/>
        <v>0.95</v>
      </c>
      <c r="G186" s="2">
        <f t="shared" ca="1" si="17"/>
        <v>45743</v>
      </c>
    </row>
    <row r="187" spans="1:7" x14ac:dyDescent="0.2">
      <c r="A187" t="s">
        <v>191</v>
      </c>
      <c r="B187" t="str">
        <f t="shared" ca="1" si="13"/>
        <v>GC_02</v>
      </c>
      <c r="C187">
        <f t="shared" ca="1" si="14"/>
        <v>3.76</v>
      </c>
      <c r="D187">
        <f t="shared" ca="1" si="15"/>
        <v>9837</v>
      </c>
      <c r="E187">
        <f t="shared" ca="1" si="12"/>
        <v>6.5737409858752691E-2</v>
      </c>
      <c r="F187">
        <f t="shared" ca="1" si="16"/>
        <v>0.98</v>
      </c>
      <c r="G187" s="2">
        <f t="shared" ca="1" si="17"/>
        <v>45687</v>
      </c>
    </row>
    <row r="188" spans="1:7" x14ac:dyDescent="0.2">
      <c r="A188" t="s">
        <v>192</v>
      </c>
      <c r="B188" t="str">
        <f t="shared" ca="1" si="13"/>
        <v>GC_02</v>
      </c>
      <c r="C188">
        <f t="shared" ca="1" si="14"/>
        <v>3.89</v>
      </c>
      <c r="D188">
        <f t="shared" ca="1" si="15"/>
        <v>9684</v>
      </c>
      <c r="E188">
        <f t="shared" ca="1" si="12"/>
        <v>8.9923909487407694E-2</v>
      </c>
      <c r="F188">
        <f t="shared" ca="1" si="16"/>
        <v>0.97</v>
      </c>
      <c r="G188" s="2">
        <f t="shared" ca="1" si="17"/>
        <v>45710</v>
      </c>
    </row>
    <row r="189" spans="1:7" x14ac:dyDescent="0.2">
      <c r="A189" t="s">
        <v>193</v>
      </c>
      <c r="B189" t="str">
        <f t="shared" ca="1" si="13"/>
        <v>HPLC_01</v>
      </c>
      <c r="C189">
        <f t="shared" ca="1" si="14"/>
        <v>5.0199999999999996</v>
      </c>
      <c r="D189">
        <f t="shared" ca="1" si="15"/>
        <v>10774</v>
      </c>
      <c r="E189">
        <f t="shared" ca="1" si="12"/>
        <v>0.11183955186246175</v>
      </c>
      <c r="F189">
        <f t="shared" ca="1" si="16"/>
        <v>1.08</v>
      </c>
      <c r="G189" s="2">
        <f t="shared" ca="1" si="17"/>
        <v>45738</v>
      </c>
    </row>
    <row r="190" spans="1:7" x14ac:dyDescent="0.2">
      <c r="A190" t="s">
        <v>194</v>
      </c>
      <c r="B190" t="str">
        <f t="shared" ca="1" si="13"/>
        <v>GC_02</v>
      </c>
      <c r="C190">
        <f t="shared" ca="1" si="14"/>
        <v>3.77</v>
      </c>
      <c r="D190">
        <f t="shared" ca="1" si="15"/>
        <v>9663</v>
      </c>
      <c r="E190">
        <f t="shared" ca="1" si="12"/>
        <v>8.8334777784263005E-2</v>
      </c>
      <c r="F190">
        <f t="shared" ca="1" si="16"/>
        <v>0.97</v>
      </c>
      <c r="G190" s="2">
        <f t="shared" ca="1" si="17"/>
        <v>45714</v>
      </c>
    </row>
    <row r="191" spans="1:7" x14ac:dyDescent="0.2">
      <c r="A191" t="s">
        <v>195</v>
      </c>
      <c r="B191" t="str">
        <f t="shared" ca="1" si="13"/>
        <v>GC_02</v>
      </c>
      <c r="C191">
        <f t="shared" ca="1" si="14"/>
        <v>3.74</v>
      </c>
      <c r="D191">
        <f t="shared" ca="1" si="15"/>
        <v>10116</v>
      </c>
      <c r="E191">
        <f t="shared" ca="1" si="12"/>
        <v>7.8572782831512977E-2</v>
      </c>
      <c r="F191">
        <f t="shared" ca="1" si="16"/>
        <v>1.01</v>
      </c>
      <c r="G191" s="2">
        <f t="shared" ca="1" si="17"/>
        <v>45694</v>
      </c>
    </row>
    <row r="192" spans="1:7" x14ac:dyDescent="0.2">
      <c r="A192" t="s">
        <v>196</v>
      </c>
      <c r="B192" t="str">
        <f t="shared" ca="1" si="13"/>
        <v>GC_02</v>
      </c>
      <c r="C192">
        <f t="shared" ca="1" si="14"/>
        <v>3.72</v>
      </c>
      <c r="D192">
        <f t="shared" ca="1" si="15"/>
        <v>9633</v>
      </c>
      <c r="E192">
        <f t="shared" ca="1" si="12"/>
        <v>7.9695914534762019E-2</v>
      </c>
      <c r="F192">
        <f t="shared" ca="1" si="16"/>
        <v>0.96</v>
      </c>
      <c r="G192" s="2">
        <f t="shared" ca="1" si="17"/>
        <v>45721</v>
      </c>
    </row>
    <row r="193" spans="1:7" x14ac:dyDescent="0.2">
      <c r="A193" t="s">
        <v>197</v>
      </c>
      <c r="B193" t="str">
        <f t="shared" ca="1" si="13"/>
        <v>HPLC_01</v>
      </c>
      <c r="C193">
        <f t="shared" ca="1" si="14"/>
        <v>5.24</v>
      </c>
      <c r="D193">
        <f t="shared" ca="1" si="15"/>
        <v>10550</v>
      </c>
      <c r="E193">
        <f t="shared" ca="1" si="12"/>
        <v>0.10585266119961652</v>
      </c>
      <c r="F193">
        <f t="shared" ca="1" si="16"/>
        <v>1.06</v>
      </c>
      <c r="G193" s="2">
        <f t="shared" ca="1" si="17"/>
        <v>45664</v>
      </c>
    </row>
    <row r="194" spans="1:7" x14ac:dyDescent="0.2">
      <c r="A194" t="s">
        <v>198</v>
      </c>
      <c r="B194" t="str">
        <f t="shared" ca="1" si="13"/>
        <v>GC_02</v>
      </c>
      <c r="C194">
        <f t="shared" ca="1" si="14"/>
        <v>3.72</v>
      </c>
      <c r="D194">
        <f t="shared" ca="1" si="15"/>
        <v>10038</v>
      </c>
      <c r="E194">
        <f t="shared" ca="1" si="12"/>
        <v>8.5441328763785809E-2</v>
      </c>
      <c r="F194">
        <f t="shared" ca="1" si="16"/>
        <v>1</v>
      </c>
      <c r="G194" s="2">
        <f t="shared" ca="1" si="17"/>
        <v>45667</v>
      </c>
    </row>
    <row r="195" spans="1:7" x14ac:dyDescent="0.2">
      <c r="A195" t="s">
        <v>199</v>
      </c>
      <c r="B195" t="str">
        <f t="shared" ca="1" si="13"/>
        <v>HPLC_01</v>
      </c>
      <c r="C195">
        <f t="shared" ca="1" si="14"/>
        <v>5.1100000000000003</v>
      </c>
      <c r="D195">
        <f t="shared" ca="1" si="15"/>
        <v>10530</v>
      </c>
      <c r="E195">
        <f t="shared" ref="E195:E258" ca="1" si="18">MAX(0.03, 0.03 + 0.015 * C195 + _xlfn.NORM.S.INV(RAND()) * 0.01)</f>
        <v>9.8688789765322166E-2</v>
      </c>
      <c r="F195">
        <f t="shared" ca="1" si="16"/>
        <v>1.05</v>
      </c>
      <c r="G195" s="2">
        <f t="shared" ca="1" si="17"/>
        <v>45746</v>
      </c>
    </row>
    <row r="196" spans="1:7" x14ac:dyDescent="0.2">
      <c r="A196" t="s">
        <v>200</v>
      </c>
      <c r="B196" t="str">
        <f t="shared" ca="1" si="13"/>
        <v>HPLC_01</v>
      </c>
      <c r="C196">
        <f t="shared" ca="1" si="14"/>
        <v>5.2</v>
      </c>
      <c r="D196">
        <f t="shared" ca="1" si="15"/>
        <v>10623</v>
      </c>
      <c r="E196">
        <f t="shared" ca="1" si="18"/>
        <v>0.10435236234888838</v>
      </c>
      <c r="F196">
        <f t="shared" ca="1" si="16"/>
        <v>1.06</v>
      </c>
      <c r="G196" s="2">
        <f t="shared" ca="1" si="17"/>
        <v>45737</v>
      </c>
    </row>
    <row r="197" spans="1:7" x14ac:dyDescent="0.2">
      <c r="A197" t="s">
        <v>201</v>
      </c>
      <c r="B197" t="str">
        <f t="shared" ca="1" si="13"/>
        <v>GC_02</v>
      </c>
      <c r="C197">
        <f t="shared" ca="1" si="14"/>
        <v>3.64</v>
      </c>
      <c r="D197">
        <f t="shared" ca="1" si="15"/>
        <v>9598</v>
      </c>
      <c r="E197">
        <f t="shared" ca="1" si="18"/>
        <v>8.35150738590969E-2</v>
      </c>
      <c r="F197">
        <f t="shared" ca="1" si="16"/>
        <v>0.96</v>
      </c>
      <c r="G197" s="2">
        <f t="shared" ca="1" si="17"/>
        <v>45697</v>
      </c>
    </row>
    <row r="198" spans="1:7" x14ac:dyDescent="0.2">
      <c r="A198" t="s">
        <v>202</v>
      </c>
      <c r="B198" t="str">
        <f t="shared" ref="B198:B261" ca="1" si="19">IF(RAND()&lt;0.5, "HPLC_01", "GC_02")</f>
        <v>HPLC_01</v>
      </c>
      <c r="C198">
        <f t="shared" ref="C198:C261" ca="1" si="20">IF(B198="HPLC_01",ROUND(5+RAND()*0.5,2),ROUND(3.5+RAND()*0.4,2))</f>
        <v>5.48</v>
      </c>
      <c r="D198">
        <f t="shared" ref="D198:D261" ca="1" si="21">IF(B198="HPLC_01",ROUND(10000+RAND()*800,0),ROUND(9500+RAND()*700,0))</f>
        <v>10130</v>
      </c>
      <c r="E198">
        <f t="shared" ca="1" si="18"/>
        <v>0.11009089675088507</v>
      </c>
      <c r="F198">
        <f t="shared" ref="F198:F261" ca="1" si="22">ROUND(D198/10000,2)</f>
        <v>1.01</v>
      </c>
      <c r="G198" s="2">
        <f t="shared" ref="G198:G261" ca="1" si="23">DATE(2025,1,1)+RANDBETWEEN(0,90)</f>
        <v>45733</v>
      </c>
    </row>
    <row r="199" spans="1:7" x14ac:dyDescent="0.2">
      <c r="A199" t="s">
        <v>203</v>
      </c>
      <c r="B199" t="str">
        <f t="shared" ca="1" si="19"/>
        <v>GC_02</v>
      </c>
      <c r="C199">
        <f t="shared" ca="1" si="20"/>
        <v>3.6</v>
      </c>
      <c r="D199">
        <f t="shared" ca="1" si="21"/>
        <v>9681</v>
      </c>
      <c r="E199">
        <f t="shared" ca="1" si="18"/>
        <v>7.9613534827015303E-2</v>
      </c>
      <c r="F199">
        <f t="shared" ca="1" si="22"/>
        <v>0.97</v>
      </c>
      <c r="G199" s="2">
        <f t="shared" ca="1" si="23"/>
        <v>45717</v>
      </c>
    </row>
    <row r="200" spans="1:7" x14ac:dyDescent="0.2">
      <c r="A200" t="s">
        <v>204</v>
      </c>
      <c r="B200" t="str">
        <f t="shared" ca="1" si="19"/>
        <v>HPLC_01</v>
      </c>
      <c r="C200">
        <f t="shared" ca="1" si="20"/>
        <v>5.49</v>
      </c>
      <c r="D200">
        <f t="shared" ca="1" si="21"/>
        <v>10701</v>
      </c>
      <c r="E200">
        <f t="shared" ca="1" si="18"/>
        <v>0.11964434641517302</v>
      </c>
      <c r="F200">
        <f t="shared" ca="1" si="22"/>
        <v>1.07</v>
      </c>
      <c r="G200" s="2">
        <f t="shared" ca="1" si="23"/>
        <v>45697</v>
      </c>
    </row>
    <row r="201" spans="1:7" x14ac:dyDescent="0.2">
      <c r="A201" t="s">
        <v>205</v>
      </c>
      <c r="B201" t="str">
        <f t="shared" ca="1" si="19"/>
        <v>GC_02</v>
      </c>
      <c r="C201">
        <f t="shared" ca="1" si="20"/>
        <v>3.53</v>
      </c>
      <c r="D201">
        <f t="shared" ca="1" si="21"/>
        <v>10073</v>
      </c>
      <c r="E201">
        <f t="shared" ca="1" si="18"/>
        <v>9.9366286497581932E-2</v>
      </c>
      <c r="F201">
        <f t="shared" ca="1" si="22"/>
        <v>1.01</v>
      </c>
      <c r="G201" s="2">
        <f t="shared" ca="1" si="23"/>
        <v>45699</v>
      </c>
    </row>
    <row r="202" spans="1:7" x14ac:dyDescent="0.2">
      <c r="A202" t="s">
        <v>206</v>
      </c>
      <c r="B202" t="str">
        <f t="shared" ca="1" si="19"/>
        <v>HPLC_01</v>
      </c>
      <c r="C202">
        <f t="shared" ca="1" si="20"/>
        <v>5.28</v>
      </c>
      <c r="D202">
        <f t="shared" ca="1" si="21"/>
        <v>10001</v>
      </c>
      <c r="E202">
        <f t="shared" ca="1" si="18"/>
        <v>8.6815318523937104E-2</v>
      </c>
      <c r="F202">
        <f t="shared" ca="1" si="22"/>
        <v>1</v>
      </c>
      <c r="G202" s="2">
        <f t="shared" ca="1" si="23"/>
        <v>45717</v>
      </c>
    </row>
    <row r="203" spans="1:7" x14ac:dyDescent="0.2">
      <c r="A203" t="s">
        <v>207</v>
      </c>
      <c r="B203" t="str">
        <f t="shared" ca="1" si="19"/>
        <v>HPLC_01</v>
      </c>
      <c r="C203">
        <f t="shared" ca="1" si="20"/>
        <v>5.45</v>
      </c>
      <c r="D203">
        <f t="shared" ca="1" si="21"/>
        <v>10069</v>
      </c>
      <c r="E203">
        <f t="shared" ca="1" si="18"/>
        <v>0.12203302707654148</v>
      </c>
      <c r="F203">
        <f t="shared" ca="1" si="22"/>
        <v>1.01</v>
      </c>
      <c r="G203" s="2">
        <f t="shared" ca="1" si="23"/>
        <v>45692</v>
      </c>
    </row>
    <row r="204" spans="1:7" x14ac:dyDescent="0.2">
      <c r="A204" t="s">
        <v>208</v>
      </c>
      <c r="B204" t="str">
        <f t="shared" ca="1" si="19"/>
        <v>HPLC_01</v>
      </c>
      <c r="C204">
        <f t="shared" ca="1" si="20"/>
        <v>5.32</v>
      </c>
      <c r="D204">
        <f t="shared" ca="1" si="21"/>
        <v>10463</v>
      </c>
      <c r="E204">
        <f t="shared" ca="1" si="18"/>
        <v>9.7029145358565244E-2</v>
      </c>
      <c r="F204">
        <f t="shared" ca="1" si="22"/>
        <v>1.05</v>
      </c>
      <c r="G204" s="2">
        <f t="shared" ca="1" si="23"/>
        <v>45688</v>
      </c>
    </row>
    <row r="205" spans="1:7" x14ac:dyDescent="0.2">
      <c r="A205" t="s">
        <v>209</v>
      </c>
      <c r="B205" t="str">
        <f t="shared" ca="1" si="19"/>
        <v>HPLC_01</v>
      </c>
      <c r="C205">
        <f t="shared" ca="1" si="20"/>
        <v>5.5</v>
      </c>
      <c r="D205">
        <f t="shared" ca="1" si="21"/>
        <v>10258</v>
      </c>
      <c r="E205">
        <f t="shared" ca="1" si="18"/>
        <v>0.12754004577971814</v>
      </c>
      <c r="F205">
        <f t="shared" ca="1" si="22"/>
        <v>1.03</v>
      </c>
      <c r="G205" s="2">
        <f t="shared" ca="1" si="23"/>
        <v>45696</v>
      </c>
    </row>
    <row r="206" spans="1:7" x14ac:dyDescent="0.2">
      <c r="A206" t="s">
        <v>210</v>
      </c>
      <c r="B206" t="str">
        <f t="shared" ca="1" si="19"/>
        <v>HPLC_01</v>
      </c>
      <c r="C206">
        <f t="shared" ca="1" si="20"/>
        <v>5.48</v>
      </c>
      <c r="D206">
        <f t="shared" ca="1" si="21"/>
        <v>10187</v>
      </c>
      <c r="E206">
        <f t="shared" ca="1" si="18"/>
        <v>0.10527895351122318</v>
      </c>
      <c r="F206">
        <f t="shared" ca="1" si="22"/>
        <v>1.02</v>
      </c>
      <c r="G206" s="2">
        <f t="shared" ca="1" si="23"/>
        <v>45710</v>
      </c>
    </row>
    <row r="207" spans="1:7" x14ac:dyDescent="0.2">
      <c r="A207" t="s">
        <v>211</v>
      </c>
      <c r="B207" t="str">
        <f t="shared" ca="1" si="19"/>
        <v>GC_02</v>
      </c>
      <c r="C207">
        <f t="shared" ca="1" si="20"/>
        <v>3.79</v>
      </c>
      <c r="D207">
        <f t="shared" ca="1" si="21"/>
        <v>9501</v>
      </c>
      <c r="E207">
        <f t="shared" ca="1" si="18"/>
        <v>7.5511026394749173E-2</v>
      </c>
      <c r="F207">
        <f t="shared" ca="1" si="22"/>
        <v>0.95</v>
      </c>
      <c r="G207" s="2">
        <f t="shared" ca="1" si="23"/>
        <v>45667</v>
      </c>
    </row>
    <row r="208" spans="1:7" x14ac:dyDescent="0.2">
      <c r="A208" t="s">
        <v>212</v>
      </c>
      <c r="B208" t="str">
        <f t="shared" ca="1" si="19"/>
        <v>GC_02</v>
      </c>
      <c r="C208">
        <f t="shared" ca="1" si="20"/>
        <v>3.72</v>
      </c>
      <c r="D208">
        <f t="shared" ca="1" si="21"/>
        <v>9940</v>
      </c>
      <c r="E208">
        <f t="shared" ca="1" si="18"/>
        <v>8.6209959337964798E-2</v>
      </c>
      <c r="F208">
        <f t="shared" ca="1" si="22"/>
        <v>0.99</v>
      </c>
      <c r="G208" s="2">
        <f t="shared" ca="1" si="23"/>
        <v>45678</v>
      </c>
    </row>
    <row r="209" spans="1:7" x14ac:dyDescent="0.2">
      <c r="A209" t="s">
        <v>213</v>
      </c>
      <c r="B209" t="str">
        <f t="shared" ca="1" si="19"/>
        <v>HPLC_01</v>
      </c>
      <c r="C209">
        <f t="shared" ca="1" si="20"/>
        <v>5.4</v>
      </c>
      <c r="D209">
        <f t="shared" ca="1" si="21"/>
        <v>10154</v>
      </c>
      <c r="E209">
        <f t="shared" ca="1" si="18"/>
        <v>0.12943360518888794</v>
      </c>
      <c r="F209">
        <f t="shared" ca="1" si="22"/>
        <v>1.02</v>
      </c>
      <c r="G209" s="2">
        <f t="shared" ca="1" si="23"/>
        <v>45660</v>
      </c>
    </row>
    <row r="210" spans="1:7" x14ac:dyDescent="0.2">
      <c r="A210" t="s">
        <v>214</v>
      </c>
      <c r="B210" t="str">
        <f t="shared" ca="1" si="19"/>
        <v>GC_02</v>
      </c>
      <c r="C210">
        <f t="shared" ca="1" si="20"/>
        <v>3.75</v>
      </c>
      <c r="D210">
        <f t="shared" ca="1" si="21"/>
        <v>9922</v>
      </c>
      <c r="E210">
        <f t="shared" ca="1" si="18"/>
        <v>8.6648607231127439E-2</v>
      </c>
      <c r="F210">
        <f t="shared" ca="1" si="22"/>
        <v>0.99</v>
      </c>
      <c r="G210" s="2">
        <f t="shared" ca="1" si="23"/>
        <v>45694</v>
      </c>
    </row>
    <row r="211" spans="1:7" x14ac:dyDescent="0.2">
      <c r="A211" t="s">
        <v>215</v>
      </c>
      <c r="B211" t="str">
        <f t="shared" ca="1" si="19"/>
        <v>HPLC_01</v>
      </c>
      <c r="C211">
        <f t="shared" ca="1" si="20"/>
        <v>5.27</v>
      </c>
      <c r="D211">
        <f t="shared" ca="1" si="21"/>
        <v>10779</v>
      </c>
      <c r="E211">
        <f t="shared" ca="1" si="18"/>
        <v>0.13645222815327829</v>
      </c>
      <c r="F211">
        <f t="shared" ca="1" si="22"/>
        <v>1.08</v>
      </c>
      <c r="G211" s="2">
        <f t="shared" ca="1" si="23"/>
        <v>45735</v>
      </c>
    </row>
    <row r="212" spans="1:7" x14ac:dyDescent="0.2">
      <c r="A212" t="s">
        <v>216</v>
      </c>
      <c r="B212" t="str">
        <f t="shared" ca="1" si="19"/>
        <v>GC_02</v>
      </c>
      <c r="C212">
        <f t="shared" ca="1" si="20"/>
        <v>3.84</v>
      </c>
      <c r="D212">
        <f t="shared" ca="1" si="21"/>
        <v>10014</v>
      </c>
      <c r="E212">
        <f t="shared" ca="1" si="18"/>
        <v>7.4269598298789818E-2</v>
      </c>
      <c r="F212">
        <f t="shared" ca="1" si="22"/>
        <v>1</v>
      </c>
      <c r="G212" s="2">
        <f t="shared" ca="1" si="23"/>
        <v>45658</v>
      </c>
    </row>
    <row r="213" spans="1:7" x14ac:dyDescent="0.2">
      <c r="A213" t="s">
        <v>217</v>
      </c>
      <c r="B213" t="str">
        <f t="shared" ca="1" si="19"/>
        <v>HPLC_01</v>
      </c>
      <c r="C213">
        <f t="shared" ca="1" si="20"/>
        <v>5.21</v>
      </c>
      <c r="D213">
        <f t="shared" ca="1" si="21"/>
        <v>10105</v>
      </c>
      <c r="E213">
        <f t="shared" ca="1" si="18"/>
        <v>0.12378379283195851</v>
      </c>
      <c r="F213">
        <f t="shared" ca="1" si="22"/>
        <v>1.01</v>
      </c>
      <c r="G213" s="2">
        <f t="shared" ca="1" si="23"/>
        <v>45733</v>
      </c>
    </row>
    <row r="214" spans="1:7" x14ac:dyDescent="0.2">
      <c r="A214" t="s">
        <v>218</v>
      </c>
      <c r="B214" t="str">
        <f t="shared" ca="1" si="19"/>
        <v>HPLC_01</v>
      </c>
      <c r="C214">
        <f t="shared" ca="1" si="20"/>
        <v>5.1100000000000003</v>
      </c>
      <c r="D214">
        <f t="shared" ca="1" si="21"/>
        <v>10570</v>
      </c>
      <c r="E214">
        <f t="shared" ca="1" si="18"/>
        <v>0.11049904476175609</v>
      </c>
      <c r="F214">
        <f t="shared" ca="1" si="22"/>
        <v>1.06</v>
      </c>
      <c r="G214" s="2">
        <f t="shared" ca="1" si="23"/>
        <v>45669</v>
      </c>
    </row>
    <row r="215" spans="1:7" x14ac:dyDescent="0.2">
      <c r="A215" t="s">
        <v>219</v>
      </c>
      <c r="B215" t="str">
        <f t="shared" ca="1" si="19"/>
        <v>HPLC_01</v>
      </c>
      <c r="C215">
        <f t="shared" ca="1" si="20"/>
        <v>5.14</v>
      </c>
      <c r="D215">
        <f t="shared" ca="1" si="21"/>
        <v>10536</v>
      </c>
      <c r="E215">
        <f t="shared" ca="1" si="18"/>
        <v>0.11351021041827827</v>
      </c>
      <c r="F215">
        <f t="shared" ca="1" si="22"/>
        <v>1.05</v>
      </c>
      <c r="G215" s="2">
        <f t="shared" ca="1" si="23"/>
        <v>45663</v>
      </c>
    </row>
    <row r="216" spans="1:7" x14ac:dyDescent="0.2">
      <c r="A216" t="s">
        <v>220</v>
      </c>
      <c r="B216" t="str">
        <f t="shared" ca="1" si="19"/>
        <v>HPLC_01</v>
      </c>
      <c r="C216">
        <f t="shared" ca="1" si="20"/>
        <v>5.34</v>
      </c>
      <c r="D216">
        <f t="shared" ca="1" si="21"/>
        <v>10324</v>
      </c>
      <c r="E216">
        <f t="shared" ca="1" si="18"/>
        <v>0.12095017769706418</v>
      </c>
      <c r="F216">
        <f t="shared" ca="1" si="22"/>
        <v>1.03</v>
      </c>
      <c r="G216" s="2">
        <f t="shared" ca="1" si="23"/>
        <v>45728</v>
      </c>
    </row>
    <row r="217" spans="1:7" x14ac:dyDescent="0.2">
      <c r="A217" t="s">
        <v>221</v>
      </c>
      <c r="B217" t="str">
        <f t="shared" ca="1" si="19"/>
        <v>HPLC_01</v>
      </c>
      <c r="C217">
        <f t="shared" ca="1" si="20"/>
        <v>5.39</v>
      </c>
      <c r="D217">
        <f t="shared" ca="1" si="21"/>
        <v>10243</v>
      </c>
      <c r="E217">
        <f t="shared" ca="1" si="18"/>
        <v>0.10837978272455122</v>
      </c>
      <c r="F217">
        <f t="shared" ca="1" si="22"/>
        <v>1.02</v>
      </c>
      <c r="G217" s="2">
        <f t="shared" ca="1" si="23"/>
        <v>45669</v>
      </c>
    </row>
    <row r="218" spans="1:7" x14ac:dyDescent="0.2">
      <c r="A218" t="s">
        <v>222</v>
      </c>
      <c r="B218" t="str">
        <f t="shared" ca="1" si="19"/>
        <v>GC_02</v>
      </c>
      <c r="C218">
        <f t="shared" ca="1" si="20"/>
        <v>3.81</v>
      </c>
      <c r="D218">
        <f t="shared" ca="1" si="21"/>
        <v>9910</v>
      </c>
      <c r="E218">
        <f t="shared" ca="1" si="18"/>
        <v>8.8444589174273669E-2</v>
      </c>
      <c r="F218">
        <f t="shared" ca="1" si="22"/>
        <v>0.99</v>
      </c>
      <c r="G218" s="2">
        <f t="shared" ca="1" si="23"/>
        <v>45718</v>
      </c>
    </row>
    <row r="219" spans="1:7" x14ac:dyDescent="0.2">
      <c r="A219" t="s">
        <v>223</v>
      </c>
      <c r="B219" t="str">
        <f t="shared" ca="1" si="19"/>
        <v>GC_02</v>
      </c>
      <c r="C219">
        <f t="shared" ca="1" si="20"/>
        <v>3.53</v>
      </c>
      <c r="D219">
        <f t="shared" ca="1" si="21"/>
        <v>10191</v>
      </c>
      <c r="E219">
        <f t="shared" ca="1" si="18"/>
        <v>9.0179611654680511E-2</v>
      </c>
      <c r="F219">
        <f t="shared" ca="1" si="22"/>
        <v>1.02</v>
      </c>
      <c r="G219" s="2">
        <f t="shared" ca="1" si="23"/>
        <v>45707</v>
      </c>
    </row>
    <row r="220" spans="1:7" x14ac:dyDescent="0.2">
      <c r="A220" t="s">
        <v>224</v>
      </c>
      <c r="B220" t="str">
        <f t="shared" ca="1" si="19"/>
        <v>HPLC_01</v>
      </c>
      <c r="C220">
        <f t="shared" ca="1" si="20"/>
        <v>5.25</v>
      </c>
      <c r="D220">
        <f t="shared" ca="1" si="21"/>
        <v>10087</v>
      </c>
      <c r="E220">
        <f t="shared" ca="1" si="18"/>
        <v>0.10364693732283033</v>
      </c>
      <c r="F220">
        <f t="shared" ca="1" si="22"/>
        <v>1.01</v>
      </c>
      <c r="G220" s="2">
        <f t="shared" ca="1" si="23"/>
        <v>45674</v>
      </c>
    </row>
    <row r="221" spans="1:7" x14ac:dyDescent="0.2">
      <c r="A221" t="s">
        <v>225</v>
      </c>
      <c r="B221" t="str">
        <f t="shared" ca="1" si="19"/>
        <v>GC_02</v>
      </c>
      <c r="C221">
        <f t="shared" ca="1" si="20"/>
        <v>3.76</v>
      </c>
      <c r="D221">
        <f t="shared" ca="1" si="21"/>
        <v>10057</v>
      </c>
      <c r="E221">
        <f t="shared" ca="1" si="18"/>
        <v>7.843189211317067E-2</v>
      </c>
      <c r="F221">
        <f t="shared" ca="1" si="22"/>
        <v>1.01</v>
      </c>
      <c r="G221" s="2">
        <f t="shared" ca="1" si="23"/>
        <v>45664</v>
      </c>
    </row>
    <row r="222" spans="1:7" x14ac:dyDescent="0.2">
      <c r="A222" t="s">
        <v>226</v>
      </c>
      <c r="B222" t="str">
        <f t="shared" ca="1" si="19"/>
        <v>HPLC_01</v>
      </c>
      <c r="C222">
        <f t="shared" ca="1" si="20"/>
        <v>5.41</v>
      </c>
      <c r="D222">
        <f t="shared" ca="1" si="21"/>
        <v>10568</v>
      </c>
      <c r="E222">
        <f t="shared" ca="1" si="18"/>
        <v>0.10426652598297476</v>
      </c>
      <c r="F222">
        <f t="shared" ca="1" si="22"/>
        <v>1.06</v>
      </c>
      <c r="G222" s="2">
        <f t="shared" ca="1" si="23"/>
        <v>45675</v>
      </c>
    </row>
    <row r="223" spans="1:7" x14ac:dyDescent="0.2">
      <c r="A223" t="s">
        <v>227</v>
      </c>
      <c r="B223" t="str">
        <f t="shared" ca="1" si="19"/>
        <v>GC_02</v>
      </c>
      <c r="C223">
        <f t="shared" ca="1" si="20"/>
        <v>3.61</v>
      </c>
      <c r="D223">
        <f t="shared" ca="1" si="21"/>
        <v>9661</v>
      </c>
      <c r="E223">
        <f t="shared" ca="1" si="18"/>
        <v>8.1463787746726815E-2</v>
      </c>
      <c r="F223">
        <f t="shared" ca="1" si="22"/>
        <v>0.97</v>
      </c>
      <c r="G223" s="2">
        <f t="shared" ca="1" si="23"/>
        <v>45710</v>
      </c>
    </row>
    <row r="224" spans="1:7" x14ac:dyDescent="0.2">
      <c r="A224" t="s">
        <v>228</v>
      </c>
      <c r="B224" t="str">
        <f t="shared" ca="1" si="19"/>
        <v>GC_02</v>
      </c>
      <c r="C224">
        <f t="shared" ca="1" si="20"/>
        <v>3.86</v>
      </c>
      <c r="D224">
        <f t="shared" ca="1" si="21"/>
        <v>9990</v>
      </c>
      <c r="E224">
        <f t="shared" ca="1" si="18"/>
        <v>0.10124293119093197</v>
      </c>
      <c r="F224">
        <f t="shared" ca="1" si="22"/>
        <v>1</v>
      </c>
      <c r="G224" s="2">
        <f t="shared" ca="1" si="23"/>
        <v>45737</v>
      </c>
    </row>
    <row r="225" spans="1:7" x14ac:dyDescent="0.2">
      <c r="A225" t="s">
        <v>229</v>
      </c>
      <c r="B225" t="str">
        <f t="shared" ca="1" si="19"/>
        <v>HPLC_01</v>
      </c>
      <c r="C225">
        <f t="shared" ca="1" si="20"/>
        <v>5.09</v>
      </c>
      <c r="D225">
        <f t="shared" ca="1" si="21"/>
        <v>10360</v>
      </c>
      <c r="E225">
        <f t="shared" ca="1" si="18"/>
        <v>0.11181212473759873</v>
      </c>
      <c r="F225">
        <f t="shared" ca="1" si="22"/>
        <v>1.04</v>
      </c>
      <c r="G225" s="2">
        <f t="shared" ca="1" si="23"/>
        <v>45718</v>
      </c>
    </row>
    <row r="226" spans="1:7" x14ac:dyDescent="0.2">
      <c r="A226" t="s">
        <v>230</v>
      </c>
      <c r="B226" t="str">
        <f t="shared" ca="1" si="19"/>
        <v>HPLC_01</v>
      </c>
      <c r="C226">
        <f t="shared" ca="1" si="20"/>
        <v>5.04</v>
      </c>
      <c r="D226">
        <f t="shared" ca="1" si="21"/>
        <v>10400</v>
      </c>
      <c r="E226">
        <f t="shared" ca="1" si="18"/>
        <v>0.1001956488029475</v>
      </c>
      <c r="F226">
        <f t="shared" ca="1" si="22"/>
        <v>1.04</v>
      </c>
      <c r="G226" s="2">
        <f t="shared" ca="1" si="23"/>
        <v>45718</v>
      </c>
    </row>
    <row r="227" spans="1:7" x14ac:dyDescent="0.2">
      <c r="A227" t="s">
        <v>231</v>
      </c>
      <c r="B227" t="str">
        <f t="shared" ca="1" si="19"/>
        <v>GC_02</v>
      </c>
      <c r="C227">
        <f t="shared" ca="1" si="20"/>
        <v>3.76</v>
      </c>
      <c r="D227">
        <f t="shared" ca="1" si="21"/>
        <v>10097</v>
      </c>
      <c r="E227">
        <f t="shared" ca="1" si="18"/>
        <v>9.6823496414053314E-2</v>
      </c>
      <c r="F227">
        <f t="shared" ca="1" si="22"/>
        <v>1.01</v>
      </c>
      <c r="G227" s="2">
        <f t="shared" ca="1" si="23"/>
        <v>45685</v>
      </c>
    </row>
    <row r="228" spans="1:7" x14ac:dyDescent="0.2">
      <c r="A228" t="s">
        <v>232</v>
      </c>
      <c r="B228" t="str">
        <f t="shared" ca="1" si="19"/>
        <v>GC_02</v>
      </c>
      <c r="C228">
        <f t="shared" ca="1" si="20"/>
        <v>3.72</v>
      </c>
      <c r="D228">
        <f t="shared" ca="1" si="21"/>
        <v>10144</v>
      </c>
      <c r="E228">
        <f t="shared" ca="1" si="18"/>
        <v>7.1998852162396612E-2</v>
      </c>
      <c r="F228">
        <f t="shared" ca="1" si="22"/>
        <v>1.01</v>
      </c>
      <c r="G228" s="2">
        <f t="shared" ca="1" si="23"/>
        <v>45727</v>
      </c>
    </row>
    <row r="229" spans="1:7" x14ac:dyDescent="0.2">
      <c r="A229" t="s">
        <v>233</v>
      </c>
      <c r="B229" t="str">
        <f t="shared" ca="1" si="19"/>
        <v>GC_02</v>
      </c>
      <c r="C229">
        <f t="shared" ca="1" si="20"/>
        <v>3.51</v>
      </c>
      <c r="D229">
        <f t="shared" ca="1" si="21"/>
        <v>9857</v>
      </c>
      <c r="E229">
        <f t="shared" ca="1" si="18"/>
        <v>7.5805374819882823E-2</v>
      </c>
      <c r="F229">
        <f t="shared" ca="1" si="22"/>
        <v>0.99</v>
      </c>
      <c r="G229" s="2">
        <f t="shared" ca="1" si="23"/>
        <v>45728</v>
      </c>
    </row>
    <row r="230" spans="1:7" x14ac:dyDescent="0.2">
      <c r="A230" t="s">
        <v>234</v>
      </c>
      <c r="B230" t="str">
        <f t="shared" ca="1" si="19"/>
        <v>HPLC_01</v>
      </c>
      <c r="C230">
        <f t="shared" ca="1" si="20"/>
        <v>5.05</v>
      </c>
      <c r="D230">
        <f t="shared" ca="1" si="21"/>
        <v>10620</v>
      </c>
      <c r="E230">
        <f t="shared" ca="1" si="18"/>
        <v>9.8836508545773888E-2</v>
      </c>
      <c r="F230">
        <f t="shared" ca="1" si="22"/>
        <v>1.06</v>
      </c>
      <c r="G230" s="2">
        <f t="shared" ca="1" si="23"/>
        <v>45728</v>
      </c>
    </row>
    <row r="231" spans="1:7" x14ac:dyDescent="0.2">
      <c r="A231" t="s">
        <v>235</v>
      </c>
      <c r="B231" t="str">
        <f t="shared" ca="1" si="19"/>
        <v>GC_02</v>
      </c>
      <c r="C231">
        <f t="shared" ca="1" si="20"/>
        <v>3.63</v>
      </c>
      <c r="D231">
        <f t="shared" ca="1" si="21"/>
        <v>9565</v>
      </c>
      <c r="E231">
        <f t="shared" ca="1" si="18"/>
        <v>9.9801067115247236E-2</v>
      </c>
      <c r="F231">
        <f t="shared" ca="1" si="22"/>
        <v>0.96</v>
      </c>
      <c r="G231" s="2">
        <f t="shared" ca="1" si="23"/>
        <v>45681</v>
      </c>
    </row>
    <row r="232" spans="1:7" x14ac:dyDescent="0.2">
      <c r="A232" t="s">
        <v>236</v>
      </c>
      <c r="B232" t="str">
        <f t="shared" ca="1" si="19"/>
        <v>HPLC_01</v>
      </c>
      <c r="C232">
        <f t="shared" ca="1" si="20"/>
        <v>5.39</v>
      </c>
      <c r="D232">
        <f t="shared" ca="1" si="21"/>
        <v>10067</v>
      </c>
      <c r="E232">
        <f t="shared" ca="1" si="18"/>
        <v>0.1161271336033342</v>
      </c>
      <c r="F232">
        <f t="shared" ca="1" si="22"/>
        <v>1.01</v>
      </c>
      <c r="G232" s="2">
        <f t="shared" ca="1" si="23"/>
        <v>45674</v>
      </c>
    </row>
    <row r="233" spans="1:7" x14ac:dyDescent="0.2">
      <c r="A233" t="s">
        <v>237</v>
      </c>
      <c r="B233" t="str">
        <f t="shared" ca="1" si="19"/>
        <v>GC_02</v>
      </c>
      <c r="C233">
        <f t="shared" ca="1" si="20"/>
        <v>3.76</v>
      </c>
      <c r="D233">
        <f t="shared" ca="1" si="21"/>
        <v>9522</v>
      </c>
      <c r="E233">
        <f t="shared" ca="1" si="18"/>
        <v>8.8320694084138965E-2</v>
      </c>
      <c r="F233">
        <f t="shared" ca="1" si="22"/>
        <v>0.95</v>
      </c>
      <c r="G233" s="2">
        <f t="shared" ca="1" si="23"/>
        <v>45697</v>
      </c>
    </row>
    <row r="234" spans="1:7" x14ac:dyDescent="0.2">
      <c r="A234" t="s">
        <v>238</v>
      </c>
      <c r="B234" t="str">
        <f t="shared" ca="1" si="19"/>
        <v>GC_02</v>
      </c>
      <c r="C234">
        <f t="shared" ca="1" si="20"/>
        <v>3.82</v>
      </c>
      <c r="D234">
        <f t="shared" ca="1" si="21"/>
        <v>10003</v>
      </c>
      <c r="E234">
        <f t="shared" ca="1" si="18"/>
        <v>8.3638799413526227E-2</v>
      </c>
      <c r="F234">
        <f t="shared" ca="1" si="22"/>
        <v>1</v>
      </c>
      <c r="G234" s="2">
        <f t="shared" ca="1" si="23"/>
        <v>45685</v>
      </c>
    </row>
    <row r="235" spans="1:7" x14ac:dyDescent="0.2">
      <c r="A235" t="s">
        <v>239</v>
      </c>
      <c r="B235" t="str">
        <f t="shared" ca="1" si="19"/>
        <v>GC_02</v>
      </c>
      <c r="C235">
        <f t="shared" ca="1" si="20"/>
        <v>3.67</v>
      </c>
      <c r="D235">
        <f t="shared" ca="1" si="21"/>
        <v>9599</v>
      </c>
      <c r="E235">
        <f t="shared" ca="1" si="18"/>
        <v>7.8289338213486853E-2</v>
      </c>
      <c r="F235">
        <f t="shared" ca="1" si="22"/>
        <v>0.96</v>
      </c>
      <c r="G235" s="2">
        <f t="shared" ca="1" si="23"/>
        <v>45692</v>
      </c>
    </row>
    <row r="236" spans="1:7" x14ac:dyDescent="0.2">
      <c r="A236" t="s">
        <v>240</v>
      </c>
      <c r="B236" t="str">
        <f t="shared" ca="1" si="19"/>
        <v>GC_02</v>
      </c>
      <c r="C236">
        <f t="shared" ca="1" si="20"/>
        <v>3.64</v>
      </c>
      <c r="D236">
        <f t="shared" ca="1" si="21"/>
        <v>9907</v>
      </c>
      <c r="E236">
        <f t="shared" ca="1" si="18"/>
        <v>8.570915008942355E-2</v>
      </c>
      <c r="F236">
        <f t="shared" ca="1" si="22"/>
        <v>0.99</v>
      </c>
      <c r="G236" s="2">
        <f t="shared" ca="1" si="23"/>
        <v>45724</v>
      </c>
    </row>
    <row r="237" spans="1:7" x14ac:dyDescent="0.2">
      <c r="A237" t="s">
        <v>241</v>
      </c>
      <c r="B237" t="str">
        <f t="shared" ca="1" si="19"/>
        <v>HPLC_01</v>
      </c>
      <c r="C237">
        <f t="shared" ca="1" si="20"/>
        <v>5.26</v>
      </c>
      <c r="D237">
        <f t="shared" ca="1" si="21"/>
        <v>10399</v>
      </c>
      <c r="E237">
        <f t="shared" ca="1" si="18"/>
        <v>0.12271518986404699</v>
      </c>
      <c r="F237">
        <f t="shared" ca="1" si="22"/>
        <v>1.04</v>
      </c>
      <c r="G237" s="2">
        <f t="shared" ca="1" si="23"/>
        <v>45709</v>
      </c>
    </row>
    <row r="238" spans="1:7" x14ac:dyDescent="0.2">
      <c r="A238" t="s">
        <v>242</v>
      </c>
      <c r="B238" t="str">
        <f t="shared" ca="1" si="19"/>
        <v>HPLC_01</v>
      </c>
      <c r="C238">
        <f t="shared" ca="1" si="20"/>
        <v>5.33</v>
      </c>
      <c r="D238">
        <f t="shared" ca="1" si="21"/>
        <v>10093</v>
      </c>
      <c r="E238">
        <f t="shared" ca="1" si="18"/>
        <v>0.10969524277484838</v>
      </c>
      <c r="F238">
        <f t="shared" ca="1" si="22"/>
        <v>1.01</v>
      </c>
      <c r="G238" s="2">
        <f t="shared" ca="1" si="23"/>
        <v>45685</v>
      </c>
    </row>
    <row r="239" spans="1:7" x14ac:dyDescent="0.2">
      <c r="A239" t="s">
        <v>243</v>
      </c>
      <c r="B239" t="str">
        <f t="shared" ca="1" si="19"/>
        <v>GC_02</v>
      </c>
      <c r="C239">
        <f t="shared" ca="1" si="20"/>
        <v>3.79</v>
      </c>
      <c r="D239">
        <f t="shared" ca="1" si="21"/>
        <v>9829</v>
      </c>
      <c r="E239">
        <f t="shared" ca="1" si="18"/>
        <v>8.6041769942754934E-2</v>
      </c>
      <c r="F239">
        <f t="shared" ca="1" si="22"/>
        <v>0.98</v>
      </c>
      <c r="G239" s="2">
        <f t="shared" ca="1" si="23"/>
        <v>45694</v>
      </c>
    </row>
    <row r="240" spans="1:7" x14ac:dyDescent="0.2">
      <c r="A240" t="s">
        <v>244</v>
      </c>
      <c r="B240" t="str">
        <f t="shared" ca="1" si="19"/>
        <v>GC_02</v>
      </c>
      <c r="C240">
        <f t="shared" ca="1" si="20"/>
        <v>3.87</v>
      </c>
      <c r="D240">
        <f t="shared" ca="1" si="21"/>
        <v>10126</v>
      </c>
      <c r="E240">
        <f t="shared" ca="1" si="18"/>
        <v>9.629883675096082E-2</v>
      </c>
      <c r="F240">
        <f t="shared" ca="1" si="22"/>
        <v>1.01</v>
      </c>
      <c r="G240" s="2">
        <f t="shared" ca="1" si="23"/>
        <v>45663</v>
      </c>
    </row>
    <row r="241" spans="1:7" x14ac:dyDescent="0.2">
      <c r="A241" t="s">
        <v>245</v>
      </c>
      <c r="B241" t="str">
        <f t="shared" ca="1" si="19"/>
        <v>GC_02</v>
      </c>
      <c r="C241">
        <f t="shared" ca="1" si="20"/>
        <v>3.51</v>
      </c>
      <c r="D241">
        <f t="shared" ca="1" si="21"/>
        <v>9758</v>
      </c>
      <c r="E241">
        <f t="shared" ca="1" si="18"/>
        <v>7.822928387569042E-2</v>
      </c>
      <c r="F241">
        <f t="shared" ca="1" si="22"/>
        <v>0.98</v>
      </c>
      <c r="G241" s="2">
        <f t="shared" ca="1" si="23"/>
        <v>45718</v>
      </c>
    </row>
    <row r="242" spans="1:7" x14ac:dyDescent="0.2">
      <c r="A242" t="s">
        <v>246</v>
      </c>
      <c r="B242" t="str">
        <f t="shared" ca="1" si="19"/>
        <v>GC_02</v>
      </c>
      <c r="C242">
        <f t="shared" ca="1" si="20"/>
        <v>3.85</v>
      </c>
      <c r="D242">
        <f t="shared" ca="1" si="21"/>
        <v>9627</v>
      </c>
      <c r="E242">
        <f t="shared" ca="1" si="18"/>
        <v>7.6221549765560892E-2</v>
      </c>
      <c r="F242">
        <f t="shared" ca="1" si="22"/>
        <v>0.96</v>
      </c>
      <c r="G242" s="2">
        <f t="shared" ca="1" si="23"/>
        <v>45671</v>
      </c>
    </row>
    <row r="243" spans="1:7" x14ac:dyDescent="0.2">
      <c r="A243" t="s">
        <v>247</v>
      </c>
      <c r="B243" t="str">
        <f t="shared" ca="1" si="19"/>
        <v>GC_02</v>
      </c>
      <c r="C243">
        <f t="shared" ca="1" si="20"/>
        <v>3.58</v>
      </c>
      <c r="D243">
        <f t="shared" ca="1" si="21"/>
        <v>9865</v>
      </c>
      <c r="E243">
        <f t="shared" ca="1" si="18"/>
        <v>7.0810687100957961E-2</v>
      </c>
      <c r="F243">
        <f t="shared" ca="1" si="22"/>
        <v>0.99</v>
      </c>
      <c r="G243" s="2">
        <f t="shared" ca="1" si="23"/>
        <v>45701</v>
      </c>
    </row>
    <row r="244" spans="1:7" x14ac:dyDescent="0.2">
      <c r="A244" t="s">
        <v>248</v>
      </c>
      <c r="B244" t="str">
        <f t="shared" ca="1" si="19"/>
        <v>GC_02</v>
      </c>
      <c r="C244">
        <f t="shared" ca="1" si="20"/>
        <v>3.55</v>
      </c>
      <c r="D244">
        <f t="shared" ca="1" si="21"/>
        <v>9925</v>
      </c>
      <c r="E244">
        <f t="shared" ca="1" si="18"/>
        <v>8.7262382519673193E-2</v>
      </c>
      <c r="F244">
        <f t="shared" ca="1" si="22"/>
        <v>0.99</v>
      </c>
      <c r="G244" s="2">
        <f t="shared" ca="1" si="23"/>
        <v>45716</v>
      </c>
    </row>
    <row r="245" spans="1:7" x14ac:dyDescent="0.2">
      <c r="A245" t="s">
        <v>249</v>
      </c>
      <c r="B245" t="str">
        <f t="shared" ca="1" si="19"/>
        <v>GC_02</v>
      </c>
      <c r="C245">
        <f t="shared" ca="1" si="20"/>
        <v>3.72</v>
      </c>
      <c r="D245">
        <f t="shared" ca="1" si="21"/>
        <v>9784</v>
      </c>
      <c r="E245">
        <f t="shared" ca="1" si="18"/>
        <v>7.3890889137599711E-2</v>
      </c>
      <c r="F245">
        <f t="shared" ca="1" si="22"/>
        <v>0.98</v>
      </c>
      <c r="G245" s="2">
        <f t="shared" ca="1" si="23"/>
        <v>45673</v>
      </c>
    </row>
    <row r="246" spans="1:7" x14ac:dyDescent="0.2">
      <c r="A246" t="s">
        <v>250</v>
      </c>
      <c r="B246" t="str">
        <f t="shared" ca="1" si="19"/>
        <v>GC_02</v>
      </c>
      <c r="C246">
        <f t="shared" ca="1" si="20"/>
        <v>3.7</v>
      </c>
      <c r="D246">
        <f t="shared" ca="1" si="21"/>
        <v>9896</v>
      </c>
      <c r="E246">
        <f t="shared" ca="1" si="18"/>
        <v>9.9170396869618302E-2</v>
      </c>
      <c r="F246">
        <f t="shared" ca="1" si="22"/>
        <v>0.99</v>
      </c>
      <c r="G246" s="2">
        <f t="shared" ca="1" si="23"/>
        <v>45701</v>
      </c>
    </row>
    <row r="247" spans="1:7" x14ac:dyDescent="0.2">
      <c r="A247" t="s">
        <v>251</v>
      </c>
      <c r="B247" t="str">
        <f t="shared" ca="1" si="19"/>
        <v>GC_02</v>
      </c>
      <c r="C247">
        <f t="shared" ca="1" si="20"/>
        <v>3.56</v>
      </c>
      <c r="D247">
        <f t="shared" ca="1" si="21"/>
        <v>10098</v>
      </c>
      <c r="E247">
        <f t="shared" ca="1" si="18"/>
        <v>8.5922655377325824E-2</v>
      </c>
      <c r="F247">
        <f t="shared" ca="1" si="22"/>
        <v>1.01</v>
      </c>
      <c r="G247" s="2">
        <f t="shared" ca="1" si="23"/>
        <v>45669</v>
      </c>
    </row>
    <row r="248" spans="1:7" x14ac:dyDescent="0.2">
      <c r="A248" t="s">
        <v>252</v>
      </c>
      <c r="B248" t="str">
        <f t="shared" ca="1" si="19"/>
        <v>HPLC_01</v>
      </c>
      <c r="C248">
        <f t="shared" ca="1" si="20"/>
        <v>5.49</v>
      </c>
      <c r="D248">
        <f t="shared" ca="1" si="21"/>
        <v>10663</v>
      </c>
      <c r="E248">
        <f t="shared" ca="1" si="18"/>
        <v>0.10873947141147489</v>
      </c>
      <c r="F248">
        <f t="shared" ca="1" si="22"/>
        <v>1.07</v>
      </c>
      <c r="G248" s="2">
        <f t="shared" ca="1" si="23"/>
        <v>45663</v>
      </c>
    </row>
    <row r="249" spans="1:7" x14ac:dyDescent="0.2">
      <c r="A249" t="s">
        <v>253</v>
      </c>
      <c r="B249" t="str">
        <f t="shared" ca="1" si="19"/>
        <v>GC_02</v>
      </c>
      <c r="C249">
        <f t="shared" ca="1" si="20"/>
        <v>3.83</v>
      </c>
      <c r="D249">
        <f t="shared" ca="1" si="21"/>
        <v>9863</v>
      </c>
      <c r="E249">
        <f t="shared" ca="1" si="18"/>
        <v>7.9798222015583453E-2</v>
      </c>
      <c r="F249">
        <f t="shared" ca="1" si="22"/>
        <v>0.99</v>
      </c>
      <c r="G249" s="2">
        <f t="shared" ca="1" si="23"/>
        <v>45686</v>
      </c>
    </row>
    <row r="250" spans="1:7" x14ac:dyDescent="0.2">
      <c r="A250" t="s">
        <v>254</v>
      </c>
      <c r="B250" t="str">
        <f t="shared" ca="1" si="19"/>
        <v>GC_02</v>
      </c>
      <c r="C250">
        <f t="shared" ca="1" si="20"/>
        <v>3.57</v>
      </c>
      <c r="D250">
        <f t="shared" ca="1" si="21"/>
        <v>9941</v>
      </c>
      <c r="E250">
        <f t="shared" ca="1" si="18"/>
        <v>7.9383912324900968E-2</v>
      </c>
      <c r="F250">
        <f t="shared" ca="1" si="22"/>
        <v>0.99</v>
      </c>
      <c r="G250" s="2">
        <f t="shared" ca="1" si="23"/>
        <v>45747</v>
      </c>
    </row>
    <row r="251" spans="1:7" x14ac:dyDescent="0.2">
      <c r="A251" t="s">
        <v>255</v>
      </c>
      <c r="B251" t="str">
        <f t="shared" ca="1" si="19"/>
        <v>HPLC_01</v>
      </c>
      <c r="C251">
        <f t="shared" ca="1" si="20"/>
        <v>5.32</v>
      </c>
      <c r="D251">
        <f t="shared" ca="1" si="21"/>
        <v>10507</v>
      </c>
      <c r="E251">
        <f t="shared" ca="1" si="18"/>
        <v>0.10567487824372393</v>
      </c>
      <c r="F251">
        <f t="shared" ca="1" si="22"/>
        <v>1.05</v>
      </c>
      <c r="G251" s="2">
        <f t="shared" ca="1" si="23"/>
        <v>45747</v>
      </c>
    </row>
    <row r="252" spans="1:7" x14ac:dyDescent="0.2">
      <c r="A252" t="s">
        <v>256</v>
      </c>
      <c r="B252" t="str">
        <f t="shared" ca="1" si="19"/>
        <v>GC_02</v>
      </c>
      <c r="C252">
        <f t="shared" ca="1" si="20"/>
        <v>3.77</v>
      </c>
      <c r="D252">
        <f t="shared" ca="1" si="21"/>
        <v>9984</v>
      </c>
      <c r="E252">
        <f t="shared" ca="1" si="18"/>
        <v>8.0313080393808217E-2</v>
      </c>
      <c r="F252">
        <f t="shared" ca="1" si="22"/>
        <v>1</v>
      </c>
      <c r="G252" s="2">
        <f t="shared" ca="1" si="23"/>
        <v>45740</v>
      </c>
    </row>
    <row r="253" spans="1:7" x14ac:dyDescent="0.2">
      <c r="A253" t="s">
        <v>257</v>
      </c>
      <c r="B253" t="str">
        <f t="shared" ca="1" si="19"/>
        <v>GC_02</v>
      </c>
      <c r="C253">
        <f t="shared" ca="1" si="20"/>
        <v>3.81</v>
      </c>
      <c r="D253">
        <f t="shared" ca="1" si="21"/>
        <v>9606</v>
      </c>
      <c r="E253">
        <f t="shared" ca="1" si="18"/>
        <v>8.230227564654076E-2</v>
      </c>
      <c r="F253">
        <f t="shared" ca="1" si="22"/>
        <v>0.96</v>
      </c>
      <c r="G253" s="2">
        <f t="shared" ca="1" si="23"/>
        <v>45730</v>
      </c>
    </row>
    <row r="254" spans="1:7" x14ac:dyDescent="0.2">
      <c r="A254" t="s">
        <v>258</v>
      </c>
      <c r="B254" t="str">
        <f t="shared" ca="1" si="19"/>
        <v>HPLC_01</v>
      </c>
      <c r="C254">
        <f t="shared" ca="1" si="20"/>
        <v>5.32</v>
      </c>
      <c r="D254">
        <f t="shared" ca="1" si="21"/>
        <v>10008</v>
      </c>
      <c r="E254">
        <f t="shared" ca="1" si="18"/>
        <v>0.10642564661678301</v>
      </c>
      <c r="F254">
        <f t="shared" ca="1" si="22"/>
        <v>1</v>
      </c>
      <c r="G254" s="2">
        <f t="shared" ca="1" si="23"/>
        <v>45719</v>
      </c>
    </row>
    <row r="255" spans="1:7" x14ac:dyDescent="0.2">
      <c r="A255" t="s">
        <v>259</v>
      </c>
      <c r="B255" t="str">
        <f t="shared" ca="1" si="19"/>
        <v>GC_02</v>
      </c>
      <c r="C255">
        <f t="shared" ca="1" si="20"/>
        <v>3.85</v>
      </c>
      <c r="D255">
        <f t="shared" ca="1" si="21"/>
        <v>10024</v>
      </c>
      <c r="E255">
        <f t="shared" ca="1" si="18"/>
        <v>8.9635972102492315E-2</v>
      </c>
      <c r="F255">
        <f t="shared" ca="1" si="22"/>
        <v>1</v>
      </c>
      <c r="G255" s="2">
        <f t="shared" ca="1" si="23"/>
        <v>45674</v>
      </c>
    </row>
    <row r="256" spans="1:7" x14ac:dyDescent="0.2">
      <c r="A256" t="s">
        <v>260</v>
      </c>
      <c r="B256" t="str">
        <f t="shared" ca="1" si="19"/>
        <v>GC_02</v>
      </c>
      <c r="C256">
        <f t="shared" ca="1" si="20"/>
        <v>3.54</v>
      </c>
      <c r="D256">
        <f t="shared" ca="1" si="21"/>
        <v>9644</v>
      </c>
      <c r="E256">
        <f t="shared" ca="1" si="18"/>
        <v>7.703058427599288E-2</v>
      </c>
      <c r="F256">
        <f t="shared" ca="1" si="22"/>
        <v>0.96</v>
      </c>
      <c r="G256" s="2">
        <f t="shared" ca="1" si="23"/>
        <v>45672</v>
      </c>
    </row>
    <row r="257" spans="1:7" x14ac:dyDescent="0.2">
      <c r="A257" t="s">
        <v>261</v>
      </c>
      <c r="B257" t="str">
        <f t="shared" ca="1" si="19"/>
        <v>HPLC_01</v>
      </c>
      <c r="C257">
        <f t="shared" ca="1" si="20"/>
        <v>5</v>
      </c>
      <c r="D257">
        <f t="shared" ca="1" si="21"/>
        <v>10367</v>
      </c>
      <c r="E257">
        <f t="shared" ca="1" si="18"/>
        <v>0.11924312311273026</v>
      </c>
      <c r="F257">
        <f t="shared" ca="1" si="22"/>
        <v>1.04</v>
      </c>
      <c r="G257" s="2">
        <f t="shared" ca="1" si="23"/>
        <v>45663</v>
      </c>
    </row>
    <row r="258" spans="1:7" x14ac:dyDescent="0.2">
      <c r="A258" t="s">
        <v>262</v>
      </c>
      <c r="B258" t="str">
        <f t="shared" ca="1" si="19"/>
        <v>GC_02</v>
      </c>
      <c r="C258">
        <f t="shared" ca="1" si="20"/>
        <v>3.58</v>
      </c>
      <c r="D258">
        <f t="shared" ca="1" si="21"/>
        <v>9766</v>
      </c>
      <c r="E258">
        <f t="shared" ca="1" si="18"/>
        <v>9.0278760978551253E-2</v>
      </c>
      <c r="F258">
        <f t="shared" ca="1" si="22"/>
        <v>0.98</v>
      </c>
      <c r="G258" s="2">
        <f t="shared" ca="1" si="23"/>
        <v>45663</v>
      </c>
    </row>
    <row r="259" spans="1:7" x14ac:dyDescent="0.2">
      <c r="A259" t="s">
        <v>263</v>
      </c>
      <c r="B259" t="str">
        <f t="shared" ca="1" si="19"/>
        <v>GC_02</v>
      </c>
      <c r="C259">
        <f t="shared" ca="1" si="20"/>
        <v>3.56</v>
      </c>
      <c r="D259">
        <f t="shared" ca="1" si="21"/>
        <v>10137</v>
      </c>
      <c r="E259">
        <f t="shared" ref="E259:E322" ca="1" si="24">MAX(0.03, 0.03 + 0.015 * C259 + _xlfn.NORM.S.INV(RAND()) * 0.01)</f>
        <v>8.6386039595943709E-2</v>
      </c>
      <c r="F259">
        <f t="shared" ca="1" si="22"/>
        <v>1.01</v>
      </c>
      <c r="G259" s="2">
        <f t="shared" ca="1" si="23"/>
        <v>45747</v>
      </c>
    </row>
    <row r="260" spans="1:7" x14ac:dyDescent="0.2">
      <c r="A260" t="s">
        <v>264</v>
      </c>
      <c r="B260" t="str">
        <f t="shared" ca="1" si="19"/>
        <v>HPLC_01</v>
      </c>
      <c r="C260">
        <f t="shared" ca="1" si="20"/>
        <v>5.31</v>
      </c>
      <c r="D260">
        <f t="shared" ca="1" si="21"/>
        <v>10494</v>
      </c>
      <c r="E260">
        <f t="shared" ca="1" si="24"/>
        <v>0.12315354232191882</v>
      </c>
      <c r="F260">
        <f t="shared" ca="1" si="22"/>
        <v>1.05</v>
      </c>
      <c r="G260" s="2">
        <f t="shared" ca="1" si="23"/>
        <v>45743</v>
      </c>
    </row>
    <row r="261" spans="1:7" x14ac:dyDescent="0.2">
      <c r="A261" t="s">
        <v>265</v>
      </c>
      <c r="B261" t="str">
        <f t="shared" ca="1" si="19"/>
        <v>GC_02</v>
      </c>
      <c r="C261">
        <f t="shared" ca="1" si="20"/>
        <v>3.82</v>
      </c>
      <c r="D261">
        <f t="shared" ca="1" si="21"/>
        <v>10088</v>
      </c>
      <c r="E261">
        <f t="shared" ca="1" si="24"/>
        <v>9.4861073838087381E-2</v>
      </c>
      <c r="F261">
        <f t="shared" ca="1" si="22"/>
        <v>1.01</v>
      </c>
      <c r="G261" s="2">
        <f t="shared" ca="1" si="23"/>
        <v>45683</v>
      </c>
    </row>
    <row r="262" spans="1:7" x14ac:dyDescent="0.2">
      <c r="A262" t="s">
        <v>266</v>
      </c>
      <c r="B262" t="str">
        <f t="shared" ref="B262:B325" ca="1" si="25">IF(RAND()&lt;0.5, "HPLC_01", "GC_02")</f>
        <v>GC_02</v>
      </c>
      <c r="C262">
        <f t="shared" ref="C262:C325" ca="1" si="26">IF(B262="HPLC_01",ROUND(5+RAND()*0.5,2),ROUND(3.5+RAND()*0.4,2))</f>
        <v>3.57</v>
      </c>
      <c r="D262">
        <f t="shared" ref="D262:D325" ca="1" si="27">IF(B262="HPLC_01",ROUND(10000+RAND()*800,0),ROUND(9500+RAND()*700,0))</f>
        <v>9976</v>
      </c>
      <c r="E262">
        <f t="shared" ca="1" si="24"/>
        <v>9.2855144221924618E-2</v>
      </c>
      <c r="F262">
        <f t="shared" ref="F262:F325" ca="1" si="28">ROUND(D262/10000,2)</f>
        <v>1</v>
      </c>
      <c r="G262" s="2">
        <f t="shared" ref="G262:G325" ca="1" si="29">DATE(2025,1,1)+RANDBETWEEN(0,90)</f>
        <v>45688</v>
      </c>
    </row>
    <row r="263" spans="1:7" x14ac:dyDescent="0.2">
      <c r="A263" t="s">
        <v>267</v>
      </c>
      <c r="B263" t="str">
        <f t="shared" ca="1" si="25"/>
        <v>GC_02</v>
      </c>
      <c r="C263">
        <f t="shared" ca="1" si="26"/>
        <v>3.7</v>
      </c>
      <c r="D263">
        <f t="shared" ca="1" si="27"/>
        <v>9824</v>
      </c>
      <c r="E263">
        <f t="shared" ca="1" si="24"/>
        <v>7.2747013032531546E-2</v>
      </c>
      <c r="F263">
        <f t="shared" ca="1" si="28"/>
        <v>0.98</v>
      </c>
      <c r="G263" s="2">
        <f t="shared" ca="1" si="29"/>
        <v>45736</v>
      </c>
    </row>
    <row r="264" spans="1:7" x14ac:dyDescent="0.2">
      <c r="A264" t="s">
        <v>268</v>
      </c>
      <c r="B264" t="str">
        <f t="shared" ca="1" si="25"/>
        <v>HPLC_01</v>
      </c>
      <c r="C264">
        <f t="shared" ca="1" si="26"/>
        <v>5.37</v>
      </c>
      <c r="D264">
        <f t="shared" ca="1" si="27"/>
        <v>10591</v>
      </c>
      <c r="E264">
        <f t="shared" ca="1" si="24"/>
        <v>0.10960209669334747</v>
      </c>
      <c r="F264">
        <f t="shared" ca="1" si="28"/>
        <v>1.06</v>
      </c>
      <c r="G264" s="2">
        <f t="shared" ca="1" si="29"/>
        <v>45737</v>
      </c>
    </row>
    <row r="265" spans="1:7" x14ac:dyDescent="0.2">
      <c r="A265" t="s">
        <v>269</v>
      </c>
      <c r="B265" t="str">
        <f t="shared" ca="1" si="25"/>
        <v>HPLC_01</v>
      </c>
      <c r="C265">
        <f t="shared" ca="1" si="26"/>
        <v>5.28</v>
      </c>
      <c r="D265">
        <f t="shared" ca="1" si="27"/>
        <v>10183</v>
      </c>
      <c r="E265">
        <f t="shared" ca="1" si="24"/>
        <v>9.9016159838319392E-2</v>
      </c>
      <c r="F265">
        <f t="shared" ca="1" si="28"/>
        <v>1.02</v>
      </c>
      <c r="G265" s="2">
        <f t="shared" ca="1" si="29"/>
        <v>45674</v>
      </c>
    </row>
    <row r="266" spans="1:7" x14ac:dyDescent="0.2">
      <c r="A266" t="s">
        <v>270</v>
      </c>
      <c r="B266" t="str">
        <f t="shared" ca="1" si="25"/>
        <v>GC_02</v>
      </c>
      <c r="C266">
        <f t="shared" ca="1" si="26"/>
        <v>3.81</v>
      </c>
      <c r="D266">
        <f t="shared" ca="1" si="27"/>
        <v>9630</v>
      </c>
      <c r="E266">
        <f t="shared" ca="1" si="24"/>
        <v>0.10446889442777471</v>
      </c>
      <c r="F266">
        <f t="shared" ca="1" si="28"/>
        <v>0.96</v>
      </c>
      <c r="G266" s="2">
        <f t="shared" ca="1" si="29"/>
        <v>45745</v>
      </c>
    </row>
    <row r="267" spans="1:7" x14ac:dyDescent="0.2">
      <c r="A267" t="s">
        <v>271</v>
      </c>
      <c r="B267" t="str">
        <f t="shared" ca="1" si="25"/>
        <v>HPLC_01</v>
      </c>
      <c r="C267">
        <f t="shared" ca="1" si="26"/>
        <v>5.48</v>
      </c>
      <c r="D267">
        <f t="shared" ca="1" si="27"/>
        <v>10310</v>
      </c>
      <c r="E267">
        <f t="shared" ca="1" si="24"/>
        <v>0.10352930211865045</v>
      </c>
      <c r="F267">
        <f t="shared" ca="1" si="28"/>
        <v>1.03</v>
      </c>
      <c r="G267" s="2">
        <f t="shared" ca="1" si="29"/>
        <v>45683</v>
      </c>
    </row>
    <row r="268" spans="1:7" x14ac:dyDescent="0.2">
      <c r="A268" t="s">
        <v>272</v>
      </c>
      <c r="B268" t="str">
        <f t="shared" ca="1" si="25"/>
        <v>GC_02</v>
      </c>
      <c r="C268">
        <f t="shared" ca="1" si="26"/>
        <v>3.73</v>
      </c>
      <c r="D268">
        <f t="shared" ca="1" si="27"/>
        <v>9925</v>
      </c>
      <c r="E268">
        <f t="shared" ca="1" si="24"/>
        <v>8.8655574241984891E-2</v>
      </c>
      <c r="F268">
        <f t="shared" ca="1" si="28"/>
        <v>0.99</v>
      </c>
      <c r="G268" s="2">
        <f t="shared" ca="1" si="29"/>
        <v>45725</v>
      </c>
    </row>
    <row r="269" spans="1:7" x14ac:dyDescent="0.2">
      <c r="A269" t="s">
        <v>273</v>
      </c>
      <c r="B269" t="str">
        <f t="shared" ca="1" si="25"/>
        <v>HPLC_01</v>
      </c>
      <c r="C269">
        <f t="shared" ca="1" si="26"/>
        <v>5.33</v>
      </c>
      <c r="D269">
        <f t="shared" ca="1" si="27"/>
        <v>10619</v>
      </c>
      <c r="E269">
        <f t="shared" ca="1" si="24"/>
        <v>0.11188958630019694</v>
      </c>
      <c r="F269">
        <f t="shared" ca="1" si="28"/>
        <v>1.06</v>
      </c>
      <c r="G269" s="2">
        <f t="shared" ca="1" si="29"/>
        <v>45702</v>
      </c>
    </row>
    <row r="270" spans="1:7" x14ac:dyDescent="0.2">
      <c r="A270" t="s">
        <v>274</v>
      </c>
      <c r="B270" t="str">
        <f t="shared" ca="1" si="25"/>
        <v>GC_02</v>
      </c>
      <c r="C270">
        <f t="shared" ca="1" si="26"/>
        <v>3.53</v>
      </c>
      <c r="D270">
        <f t="shared" ca="1" si="27"/>
        <v>10057</v>
      </c>
      <c r="E270">
        <f t="shared" ca="1" si="24"/>
        <v>9.584751562220363E-2</v>
      </c>
      <c r="F270">
        <f t="shared" ca="1" si="28"/>
        <v>1.01</v>
      </c>
      <c r="G270" s="2">
        <f t="shared" ca="1" si="29"/>
        <v>45700</v>
      </c>
    </row>
    <row r="271" spans="1:7" x14ac:dyDescent="0.2">
      <c r="A271" t="s">
        <v>275</v>
      </c>
      <c r="B271" t="str">
        <f t="shared" ca="1" si="25"/>
        <v>GC_02</v>
      </c>
      <c r="C271">
        <f t="shared" ca="1" si="26"/>
        <v>3.52</v>
      </c>
      <c r="D271">
        <f t="shared" ca="1" si="27"/>
        <v>10103</v>
      </c>
      <c r="E271">
        <f t="shared" ca="1" si="24"/>
        <v>8.6962598386592566E-2</v>
      </c>
      <c r="F271">
        <f t="shared" ca="1" si="28"/>
        <v>1.01</v>
      </c>
      <c r="G271" s="2">
        <f t="shared" ca="1" si="29"/>
        <v>45686</v>
      </c>
    </row>
    <row r="272" spans="1:7" x14ac:dyDescent="0.2">
      <c r="A272" t="s">
        <v>276</v>
      </c>
      <c r="B272" t="str">
        <f t="shared" ca="1" si="25"/>
        <v>GC_02</v>
      </c>
      <c r="C272">
        <f t="shared" ca="1" si="26"/>
        <v>3.86</v>
      </c>
      <c r="D272">
        <f t="shared" ca="1" si="27"/>
        <v>9948</v>
      </c>
      <c r="E272">
        <f t="shared" ca="1" si="24"/>
        <v>9.7734580784272149E-2</v>
      </c>
      <c r="F272">
        <f t="shared" ca="1" si="28"/>
        <v>0.99</v>
      </c>
      <c r="G272" s="2">
        <f t="shared" ca="1" si="29"/>
        <v>45680</v>
      </c>
    </row>
    <row r="273" spans="1:7" x14ac:dyDescent="0.2">
      <c r="A273" t="s">
        <v>277</v>
      </c>
      <c r="B273" t="str">
        <f t="shared" ca="1" si="25"/>
        <v>GC_02</v>
      </c>
      <c r="C273">
        <f t="shared" ca="1" si="26"/>
        <v>3.86</v>
      </c>
      <c r="D273">
        <f t="shared" ca="1" si="27"/>
        <v>9958</v>
      </c>
      <c r="E273">
        <f t="shared" ca="1" si="24"/>
        <v>0.10649081146012725</v>
      </c>
      <c r="F273">
        <f t="shared" ca="1" si="28"/>
        <v>1</v>
      </c>
      <c r="G273" s="2">
        <f t="shared" ca="1" si="29"/>
        <v>45697</v>
      </c>
    </row>
    <row r="274" spans="1:7" x14ac:dyDescent="0.2">
      <c r="A274" t="s">
        <v>278</v>
      </c>
      <c r="B274" t="str">
        <f t="shared" ca="1" si="25"/>
        <v>GC_02</v>
      </c>
      <c r="C274">
        <f t="shared" ca="1" si="26"/>
        <v>3.89</v>
      </c>
      <c r="D274">
        <f t="shared" ca="1" si="27"/>
        <v>9553</v>
      </c>
      <c r="E274">
        <f t="shared" ca="1" si="24"/>
        <v>8.9992395685658741E-2</v>
      </c>
      <c r="F274">
        <f t="shared" ca="1" si="28"/>
        <v>0.96</v>
      </c>
      <c r="G274" s="2">
        <f t="shared" ca="1" si="29"/>
        <v>45723</v>
      </c>
    </row>
    <row r="275" spans="1:7" x14ac:dyDescent="0.2">
      <c r="A275" t="s">
        <v>279</v>
      </c>
      <c r="B275" t="str">
        <f t="shared" ca="1" si="25"/>
        <v>GC_02</v>
      </c>
      <c r="C275">
        <f t="shared" ca="1" si="26"/>
        <v>3.57</v>
      </c>
      <c r="D275">
        <f t="shared" ca="1" si="27"/>
        <v>9839</v>
      </c>
      <c r="E275">
        <f t="shared" ca="1" si="24"/>
        <v>9.5284769290059454E-2</v>
      </c>
      <c r="F275">
        <f t="shared" ca="1" si="28"/>
        <v>0.98</v>
      </c>
      <c r="G275" s="2">
        <f t="shared" ca="1" si="29"/>
        <v>45690</v>
      </c>
    </row>
    <row r="276" spans="1:7" x14ac:dyDescent="0.2">
      <c r="A276" t="s">
        <v>280</v>
      </c>
      <c r="B276" t="str">
        <f t="shared" ca="1" si="25"/>
        <v>GC_02</v>
      </c>
      <c r="C276">
        <f t="shared" ca="1" si="26"/>
        <v>3.66</v>
      </c>
      <c r="D276">
        <f t="shared" ca="1" si="27"/>
        <v>10002</v>
      </c>
      <c r="E276">
        <f t="shared" ca="1" si="24"/>
        <v>9.6721853821859313E-2</v>
      </c>
      <c r="F276">
        <f t="shared" ca="1" si="28"/>
        <v>1</v>
      </c>
      <c r="G276" s="2">
        <f t="shared" ca="1" si="29"/>
        <v>45745</v>
      </c>
    </row>
    <row r="277" spans="1:7" x14ac:dyDescent="0.2">
      <c r="A277" t="s">
        <v>281</v>
      </c>
      <c r="B277" t="str">
        <f t="shared" ca="1" si="25"/>
        <v>HPLC_01</v>
      </c>
      <c r="C277">
        <f t="shared" ca="1" si="26"/>
        <v>5.26</v>
      </c>
      <c r="D277">
        <f t="shared" ca="1" si="27"/>
        <v>10664</v>
      </c>
      <c r="E277">
        <f t="shared" ca="1" si="24"/>
        <v>0.11539199903246015</v>
      </c>
      <c r="F277">
        <f t="shared" ca="1" si="28"/>
        <v>1.07</v>
      </c>
      <c r="G277" s="2">
        <f t="shared" ca="1" si="29"/>
        <v>45727</v>
      </c>
    </row>
    <row r="278" spans="1:7" x14ac:dyDescent="0.2">
      <c r="A278" t="s">
        <v>282</v>
      </c>
      <c r="B278" t="str">
        <f t="shared" ca="1" si="25"/>
        <v>GC_02</v>
      </c>
      <c r="C278">
        <f t="shared" ca="1" si="26"/>
        <v>3.85</v>
      </c>
      <c r="D278">
        <f t="shared" ca="1" si="27"/>
        <v>9673</v>
      </c>
      <c r="E278">
        <f t="shared" ca="1" si="24"/>
        <v>8.4967829179234358E-2</v>
      </c>
      <c r="F278">
        <f t="shared" ca="1" si="28"/>
        <v>0.97</v>
      </c>
      <c r="G278" s="2">
        <f t="shared" ca="1" si="29"/>
        <v>45743</v>
      </c>
    </row>
    <row r="279" spans="1:7" x14ac:dyDescent="0.2">
      <c r="A279" t="s">
        <v>283</v>
      </c>
      <c r="B279" t="str">
        <f t="shared" ca="1" si="25"/>
        <v>HPLC_01</v>
      </c>
      <c r="C279">
        <f t="shared" ca="1" si="26"/>
        <v>5.04</v>
      </c>
      <c r="D279">
        <f t="shared" ca="1" si="27"/>
        <v>10747</v>
      </c>
      <c r="E279">
        <f t="shared" ca="1" si="24"/>
        <v>0.11628649170003678</v>
      </c>
      <c r="F279">
        <f t="shared" ca="1" si="28"/>
        <v>1.07</v>
      </c>
      <c r="G279" s="2">
        <f t="shared" ca="1" si="29"/>
        <v>45727</v>
      </c>
    </row>
    <row r="280" spans="1:7" x14ac:dyDescent="0.2">
      <c r="A280" t="s">
        <v>284</v>
      </c>
      <c r="B280" t="str">
        <f t="shared" ca="1" si="25"/>
        <v>HPLC_01</v>
      </c>
      <c r="C280">
        <f t="shared" ca="1" si="26"/>
        <v>5.47</v>
      </c>
      <c r="D280">
        <f t="shared" ca="1" si="27"/>
        <v>10656</v>
      </c>
      <c r="E280">
        <f t="shared" ca="1" si="24"/>
        <v>0.12802887690627274</v>
      </c>
      <c r="F280">
        <f t="shared" ca="1" si="28"/>
        <v>1.07</v>
      </c>
      <c r="G280" s="2">
        <f t="shared" ca="1" si="29"/>
        <v>45691</v>
      </c>
    </row>
    <row r="281" spans="1:7" x14ac:dyDescent="0.2">
      <c r="A281" t="s">
        <v>285</v>
      </c>
      <c r="B281" t="str">
        <f t="shared" ca="1" si="25"/>
        <v>HPLC_01</v>
      </c>
      <c r="C281">
        <f t="shared" ca="1" si="26"/>
        <v>5.34</v>
      </c>
      <c r="D281">
        <f t="shared" ca="1" si="27"/>
        <v>10307</v>
      </c>
      <c r="E281">
        <f t="shared" ca="1" si="24"/>
        <v>0.11693647104882372</v>
      </c>
      <c r="F281">
        <f t="shared" ca="1" si="28"/>
        <v>1.03</v>
      </c>
      <c r="G281" s="2">
        <f t="shared" ca="1" si="29"/>
        <v>45742</v>
      </c>
    </row>
    <row r="282" spans="1:7" x14ac:dyDescent="0.2">
      <c r="A282" t="s">
        <v>286</v>
      </c>
      <c r="B282" t="str">
        <f t="shared" ca="1" si="25"/>
        <v>HPLC_01</v>
      </c>
      <c r="C282">
        <f t="shared" ca="1" si="26"/>
        <v>5.4</v>
      </c>
      <c r="D282">
        <f t="shared" ca="1" si="27"/>
        <v>10142</v>
      </c>
      <c r="E282">
        <f t="shared" ca="1" si="24"/>
        <v>0.12423166015595245</v>
      </c>
      <c r="F282">
        <f t="shared" ca="1" si="28"/>
        <v>1.01</v>
      </c>
      <c r="G282" s="2">
        <f t="shared" ca="1" si="29"/>
        <v>45703</v>
      </c>
    </row>
    <row r="283" spans="1:7" x14ac:dyDescent="0.2">
      <c r="A283" t="s">
        <v>287</v>
      </c>
      <c r="B283" t="str">
        <f t="shared" ca="1" si="25"/>
        <v>HPLC_01</v>
      </c>
      <c r="C283">
        <f t="shared" ca="1" si="26"/>
        <v>5.22</v>
      </c>
      <c r="D283">
        <f t="shared" ca="1" si="27"/>
        <v>10734</v>
      </c>
      <c r="E283">
        <f t="shared" ca="1" si="24"/>
        <v>0.11363337202640256</v>
      </c>
      <c r="F283">
        <f t="shared" ca="1" si="28"/>
        <v>1.07</v>
      </c>
      <c r="G283" s="2">
        <f t="shared" ca="1" si="29"/>
        <v>45671</v>
      </c>
    </row>
    <row r="284" spans="1:7" x14ac:dyDescent="0.2">
      <c r="A284" t="s">
        <v>288</v>
      </c>
      <c r="B284" t="str">
        <f t="shared" ca="1" si="25"/>
        <v>GC_02</v>
      </c>
      <c r="C284">
        <f t="shared" ca="1" si="26"/>
        <v>3.58</v>
      </c>
      <c r="D284">
        <f t="shared" ca="1" si="27"/>
        <v>10110</v>
      </c>
      <c r="E284">
        <f t="shared" ca="1" si="24"/>
        <v>7.6624686245519144E-2</v>
      </c>
      <c r="F284">
        <f t="shared" ca="1" si="28"/>
        <v>1.01</v>
      </c>
      <c r="G284" s="2">
        <f t="shared" ca="1" si="29"/>
        <v>45700</v>
      </c>
    </row>
    <row r="285" spans="1:7" x14ac:dyDescent="0.2">
      <c r="A285" t="s">
        <v>289</v>
      </c>
      <c r="B285" t="str">
        <f t="shared" ca="1" si="25"/>
        <v>GC_02</v>
      </c>
      <c r="C285">
        <f t="shared" ca="1" si="26"/>
        <v>3.6</v>
      </c>
      <c r="D285">
        <f t="shared" ca="1" si="27"/>
        <v>9960</v>
      </c>
      <c r="E285">
        <f t="shared" ca="1" si="24"/>
        <v>8.5937246322068866E-2</v>
      </c>
      <c r="F285">
        <f t="shared" ca="1" si="28"/>
        <v>1</v>
      </c>
      <c r="G285" s="2">
        <f t="shared" ca="1" si="29"/>
        <v>45667</v>
      </c>
    </row>
    <row r="286" spans="1:7" x14ac:dyDescent="0.2">
      <c r="A286" t="s">
        <v>290</v>
      </c>
      <c r="B286" t="str">
        <f t="shared" ca="1" si="25"/>
        <v>HPLC_01</v>
      </c>
      <c r="C286">
        <f t="shared" ca="1" si="26"/>
        <v>5.25</v>
      </c>
      <c r="D286">
        <f t="shared" ca="1" si="27"/>
        <v>10091</v>
      </c>
      <c r="E286">
        <f t="shared" ca="1" si="24"/>
        <v>0.10045804286464934</v>
      </c>
      <c r="F286">
        <f t="shared" ca="1" si="28"/>
        <v>1.01</v>
      </c>
      <c r="G286" s="2">
        <f t="shared" ca="1" si="29"/>
        <v>45663</v>
      </c>
    </row>
    <row r="287" spans="1:7" x14ac:dyDescent="0.2">
      <c r="A287" t="s">
        <v>291</v>
      </c>
      <c r="B287" t="str">
        <f t="shared" ca="1" si="25"/>
        <v>HPLC_01</v>
      </c>
      <c r="C287">
        <f t="shared" ca="1" si="26"/>
        <v>5.39</v>
      </c>
      <c r="D287">
        <f t="shared" ca="1" si="27"/>
        <v>10533</v>
      </c>
      <c r="E287">
        <f t="shared" ca="1" si="24"/>
        <v>0.10566595673259634</v>
      </c>
      <c r="F287">
        <f t="shared" ca="1" si="28"/>
        <v>1.05</v>
      </c>
      <c r="G287" s="2">
        <f t="shared" ca="1" si="29"/>
        <v>45682</v>
      </c>
    </row>
    <row r="288" spans="1:7" x14ac:dyDescent="0.2">
      <c r="A288" t="s">
        <v>292</v>
      </c>
      <c r="B288" t="str">
        <f t="shared" ca="1" si="25"/>
        <v>GC_02</v>
      </c>
      <c r="C288">
        <f t="shared" ca="1" si="26"/>
        <v>3.87</v>
      </c>
      <c r="D288">
        <f t="shared" ca="1" si="27"/>
        <v>9554</v>
      </c>
      <c r="E288">
        <f t="shared" ca="1" si="24"/>
        <v>7.4768873061698812E-2</v>
      </c>
      <c r="F288">
        <f t="shared" ca="1" si="28"/>
        <v>0.96</v>
      </c>
      <c r="G288" s="2">
        <f t="shared" ca="1" si="29"/>
        <v>45674</v>
      </c>
    </row>
    <row r="289" spans="1:7" x14ac:dyDescent="0.2">
      <c r="A289" t="s">
        <v>293</v>
      </c>
      <c r="B289" t="str">
        <f t="shared" ca="1" si="25"/>
        <v>GC_02</v>
      </c>
      <c r="C289">
        <f t="shared" ca="1" si="26"/>
        <v>3.59</v>
      </c>
      <c r="D289">
        <f t="shared" ca="1" si="27"/>
        <v>10125</v>
      </c>
      <c r="E289">
        <f t="shared" ca="1" si="24"/>
        <v>7.3984013445130864E-2</v>
      </c>
      <c r="F289">
        <f t="shared" ca="1" si="28"/>
        <v>1.01</v>
      </c>
      <c r="G289" s="2">
        <f t="shared" ca="1" si="29"/>
        <v>45662</v>
      </c>
    </row>
    <row r="290" spans="1:7" x14ac:dyDescent="0.2">
      <c r="A290" t="s">
        <v>294</v>
      </c>
      <c r="B290" t="str">
        <f t="shared" ca="1" si="25"/>
        <v>HPLC_01</v>
      </c>
      <c r="C290">
        <f t="shared" ca="1" si="26"/>
        <v>5.25</v>
      </c>
      <c r="D290">
        <f t="shared" ca="1" si="27"/>
        <v>10487</v>
      </c>
      <c r="E290">
        <f t="shared" ca="1" si="24"/>
        <v>0.11012478064434873</v>
      </c>
      <c r="F290">
        <f t="shared" ca="1" si="28"/>
        <v>1.05</v>
      </c>
      <c r="G290" s="2">
        <f t="shared" ca="1" si="29"/>
        <v>45728</v>
      </c>
    </row>
    <row r="291" spans="1:7" x14ac:dyDescent="0.2">
      <c r="A291" t="s">
        <v>295</v>
      </c>
      <c r="B291" t="str">
        <f t="shared" ca="1" si="25"/>
        <v>GC_02</v>
      </c>
      <c r="C291">
        <f t="shared" ca="1" si="26"/>
        <v>3.76</v>
      </c>
      <c r="D291">
        <f t="shared" ca="1" si="27"/>
        <v>9613</v>
      </c>
      <c r="E291">
        <f t="shared" ca="1" si="24"/>
        <v>8.8573527385120004E-2</v>
      </c>
      <c r="F291">
        <f t="shared" ca="1" si="28"/>
        <v>0.96</v>
      </c>
      <c r="G291" s="2">
        <f t="shared" ca="1" si="29"/>
        <v>45661</v>
      </c>
    </row>
    <row r="292" spans="1:7" x14ac:dyDescent="0.2">
      <c r="A292" t="s">
        <v>296</v>
      </c>
      <c r="B292" t="str">
        <f t="shared" ca="1" si="25"/>
        <v>HPLC_01</v>
      </c>
      <c r="C292">
        <f t="shared" ca="1" si="26"/>
        <v>5.04</v>
      </c>
      <c r="D292">
        <f t="shared" ca="1" si="27"/>
        <v>10506</v>
      </c>
      <c r="E292">
        <f t="shared" ca="1" si="24"/>
        <v>0.11384491171562379</v>
      </c>
      <c r="F292">
        <f t="shared" ca="1" si="28"/>
        <v>1.05</v>
      </c>
      <c r="G292" s="2">
        <f t="shared" ca="1" si="29"/>
        <v>45732</v>
      </c>
    </row>
    <row r="293" spans="1:7" x14ac:dyDescent="0.2">
      <c r="A293" t="s">
        <v>297</v>
      </c>
      <c r="B293" t="str">
        <f t="shared" ca="1" si="25"/>
        <v>HPLC_01</v>
      </c>
      <c r="C293">
        <f t="shared" ca="1" si="26"/>
        <v>5.12</v>
      </c>
      <c r="D293">
        <f t="shared" ca="1" si="27"/>
        <v>10692</v>
      </c>
      <c r="E293">
        <f t="shared" ca="1" si="24"/>
        <v>0.10867320753544003</v>
      </c>
      <c r="F293">
        <f t="shared" ca="1" si="28"/>
        <v>1.07</v>
      </c>
      <c r="G293" s="2">
        <f t="shared" ca="1" si="29"/>
        <v>45732</v>
      </c>
    </row>
    <row r="294" spans="1:7" x14ac:dyDescent="0.2">
      <c r="A294" t="s">
        <v>298</v>
      </c>
      <c r="B294" t="str">
        <f t="shared" ca="1" si="25"/>
        <v>GC_02</v>
      </c>
      <c r="C294">
        <f t="shared" ca="1" si="26"/>
        <v>3.58</v>
      </c>
      <c r="D294">
        <f t="shared" ca="1" si="27"/>
        <v>9712</v>
      </c>
      <c r="E294">
        <f t="shared" ca="1" si="24"/>
        <v>8.1332846642025433E-2</v>
      </c>
      <c r="F294">
        <f t="shared" ca="1" si="28"/>
        <v>0.97</v>
      </c>
      <c r="G294" s="2">
        <f t="shared" ca="1" si="29"/>
        <v>45676</v>
      </c>
    </row>
    <row r="295" spans="1:7" x14ac:dyDescent="0.2">
      <c r="A295" t="s">
        <v>299</v>
      </c>
      <c r="B295" t="str">
        <f t="shared" ca="1" si="25"/>
        <v>GC_02</v>
      </c>
      <c r="C295">
        <f t="shared" ca="1" si="26"/>
        <v>3.56</v>
      </c>
      <c r="D295">
        <f t="shared" ca="1" si="27"/>
        <v>9617</v>
      </c>
      <c r="E295">
        <f t="shared" ca="1" si="24"/>
        <v>7.5880433098753766E-2</v>
      </c>
      <c r="F295">
        <f t="shared" ca="1" si="28"/>
        <v>0.96</v>
      </c>
      <c r="G295" s="2">
        <f t="shared" ca="1" si="29"/>
        <v>45699</v>
      </c>
    </row>
    <row r="296" spans="1:7" x14ac:dyDescent="0.2">
      <c r="A296" t="s">
        <v>300</v>
      </c>
      <c r="B296" t="str">
        <f t="shared" ca="1" si="25"/>
        <v>HPLC_01</v>
      </c>
      <c r="C296">
        <f t="shared" ca="1" si="26"/>
        <v>5.13</v>
      </c>
      <c r="D296">
        <f t="shared" ca="1" si="27"/>
        <v>10495</v>
      </c>
      <c r="E296">
        <f t="shared" ca="1" si="24"/>
        <v>0.1082980955746236</v>
      </c>
      <c r="F296">
        <f t="shared" ca="1" si="28"/>
        <v>1.05</v>
      </c>
      <c r="G296" s="2">
        <f t="shared" ca="1" si="29"/>
        <v>45743</v>
      </c>
    </row>
    <row r="297" spans="1:7" x14ac:dyDescent="0.2">
      <c r="A297" t="s">
        <v>301</v>
      </c>
      <c r="B297" t="str">
        <f t="shared" ca="1" si="25"/>
        <v>HPLC_01</v>
      </c>
      <c r="C297">
        <f t="shared" ca="1" si="26"/>
        <v>5.13</v>
      </c>
      <c r="D297">
        <f t="shared" ca="1" si="27"/>
        <v>10712</v>
      </c>
      <c r="E297">
        <f t="shared" ca="1" si="24"/>
        <v>0.10927066130261394</v>
      </c>
      <c r="F297">
        <f t="shared" ca="1" si="28"/>
        <v>1.07</v>
      </c>
      <c r="G297" s="2">
        <f t="shared" ca="1" si="29"/>
        <v>45677</v>
      </c>
    </row>
    <row r="298" spans="1:7" x14ac:dyDescent="0.2">
      <c r="A298" t="s">
        <v>302</v>
      </c>
      <c r="B298" t="str">
        <f t="shared" ca="1" si="25"/>
        <v>HPLC_01</v>
      </c>
      <c r="C298">
        <f t="shared" ca="1" si="26"/>
        <v>5.0199999999999996</v>
      </c>
      <c r="D298">
        <f t="shared" ca="1" si="27"/>
        <v>10309</v>
      </c>
      <c r="E298">
        <f t="shared" ca="1" si="24"/>
        <v>9.6227170697144898E-2</v>
      </c>
      <c r="F298">
        <f t="shared" ca="1" si="28"/>
        <v>1.03</v>
      </c>
      <c r="G298" s="2">
        <f t="shared" ca="1" si="29"/>
        <v>45710</v>
      </c>
    </row>
    <row r="299" spans="1:7" x14ac:dyDescent="0.2">
      <c r="A299" t="s">
        <v>303</v>
      </c>
      <c r="B299" t="str">
        <f t="shared" ca="1" si="25"/>
        <v>GC_02</v>
      </c>
      <c r="C299">
        <f t="shared" ca="1" si="26"/>
        <v>3.66</v>
      </c>
      <c r="D299">
        <f t="shared" ca="1" si="27"/>
        <v>9640</v>
      </c>
      <c r="E299">
        <f t="shared" ca="1" si="24"/>
        <v>0.10502491853525425</v>
      </c>
      <c r="F299">
        <f t="shared" ca="1" si="28"/>
        <v>0.96</v>
      </c>
      <c r="G299" s="2">
        <f t="shared" ca="1" si="29"/>
        <v>45707</v>
      </c>
    </row>
    <row r="300" spans="1:7" x14ac:dyDescent="0.2">
      <c r="A300" t="s">
        <v>304</v>
      </c>
      <c r="B300" t="str">
        <f t="shared" ca="1" si="25"/>
        <v>GC_02</v>
      </c>
      <c r="C300">
        <f t="shared" ca="1" si="26"/>
        <v>3.78</v>
      </c>
      <c r="D300">
        <f t="shared" ca="1" si="27"/>
        <v>10100</v>
      </c>
      <c r="E300">
        <f t="shared" ca="1" si="24"/>
        <v>8.2502919754733797E-2</v>
      </c>
      <c r="F300">
        <f t="shared" ca="1" si="28"/>
        <v>1.01</v>
      </c>
      <c r="G300" s="2">
        <f t="shared" ca="1" si="29"/>
        <v>45703</v>
      </c>
    </row>
    <row r="301" spans="1:7" x14ac:dyDescent="0.2">
      <c r="A301" t="s">
        <v>305</v>
      </c>
      <c r="B301" t="str">
        <f t="shared" ca="1" si="25"/>
        <v>GC_02</v>
      </c>
      <c r="C301">
        <f t="shared" ca="1" si="26"/>
        <v>3.59</v>
      </c>
      <c r="D301">
        <f t="shared" ca="1" si="27"/>
        <v>9734</v>
      </c>
      <c r="E301">
        <f t="shared" ca="1" si="24"/>
        <v>7.2270307096423139E-2</v>
      </c>
      <c r="F301">
        <f t="shared" ca="1" si="28"/>
        <v>0.97</v>
      </c>
      <c r="G301" s="2">
        <f t="shared" ca="1" si="29"/>
        <v>45740</v>
      </c>
    </row>
    <row r="302" spans="1:7" x14ac:dyDescent="0.2">
      <c r="A302" t="s">
        <v>306</v>
      </c>
      <c r="B302" t="str">
        <f t="shared" ca="1" si="25"/>
        <v>HPLC_01</v>
      </c>
      <c r="C302">
        <f t="shared" ca="1" si="26"/>
        <v>5.38</v>
      </c>
      <c r="D302">
        <f t="shared" ca="1" si="27"/>
        <v>10277</v>
      </c>
      <c r="E302">
        <f t="shared" ca="1" si="24"/>
        <v>0.11462758291260576</v>
      </c>
      <c r="F302">
        <f t="shared" ca="1" si="28"/>
        <v>1.03</v>
      </c>
      <c r="G302" s="2">
        <f t="shared" ca="1" si="29"/>
        <v>45744</v>
      </c>
    </row>
    <row r="303" spans="1:7" x14ac:dyDescent="0.2">
      <c r="A303" t="s">
        <v>307</v>
      </c>
      <c r="B303" t="str">
        <f t="shared" ca="1" si="25"/>
        <v>GC_02</v>
      </c>
      <c r="C303">
        <f t="shared" ca="1" si="26"/>
        <v>3.65</v>
      </c>
      <c r="D303">
        <f t="shared" ca="1" si="27"/>
        <v>9676</v>
      </c>
      <c r="E303">
        <f t="shared" ca="1" si="24"/>
        <v>8.7324957441492573E-2</v>
      </c>
      <c r="F303">
        <f t="shared" ca="1" si="28"/>
        <v>0.97</v>
      </c>
      <c r="G303" s="2">
        <f t="shared" ca="1" si="29"/>
        <v>45719</v>
      </c>
    </row>
    <row r="304" spans="1:7" x14ac:dyDescent="0.2">
      <c r="A304" t="s">
        <v>308</v>
      </c>
      <c r="B304" t="str">
        <f t="shared" ca="1" si="25"/>
        <v>HPLC_01</v>
      </c>
      <c r="C304">
        <f t="shared" ca="1" si="26"/>
        <v>5.5</v>
      </c>
      <c r="D304">
        <f t="shared" ca="1" si="27"/>
        <v>10721</v>
      </c>
      <c r="E304">
        <f t="shared" ca="1" si="24"/>
        <v>0.12127309839740213</v>
      </c>
      <c r="F304">
        <f t="shared" ca="1" si="28"/>
        <v>1.07</v>
      </c>
      <c r="G304" s="2">
        <f t="shared" ca="1" si="29"/>
        <v>45709</v>
      </c>
    </row>
    <row r="305" spans="1:7" x14ac:dyDescent="0.2">
      <c r="A305" t="s">
        <v>309</v>
      </c>
      <c r="B305" t="str">
        <f t="shared" ca="1" si="25"/>
        <v>GC_02</v>
      </c>
      <c r="C305">
        <f t="shared" ca="1" si="26"/>
        <v>3.82</v>
      </c>
      <c r="D305">
        <f t="shared" ca="1" si="27"/>
        <v>9779</v>
      </c>
      <c r="E305">
        <f t="shared" ca="1" si="24"/>
        <v>8.8377420445862886E-2</v>
      </c>
      <c r="F305">
        <f t="shared" ca="1" si="28"/>
        <v>0.98</v>
      </c>
      <c r="G305" s="2">
        <f t="shared" ca="1" si="29"/>
        <v>45700</v>
      </c>
    </row>
    <row r="306" spans="1:7" x14ac:dyDescent="0.2">
      <c r="A306" t="s">
        <v>310</v>
      </c>
      <c r="B306" t="str">
        <f t="shared" ca="1" si="25"/>
        <v>HPLC_01</v>
      </c>
      <c r="C306">
        <f t="shared" ca="1" si="26"/>
        <v>5.49</v>
      </c>
      <c r="D306">
        <f t="shared" ca="1" si="27"/>
        <v>10260</v>
      </c>
      <c r="E306">
        <f t="shared" ca="1" si="24"/>
        <v>0.1170415224624904</v>
      </c>
      <c r="F306">
        <f t="shared" ca="1" si="28"/>
        <v>1.03</v>
      </c>
      <c r="G306" s="2">
        <f t="shared" ca="1" si="29"/>
        <v>45729</v>
      </c>
    </row>
    <row r="307" spans="1:7" x14ac:dyDescent="0.2">
      <c r="A307" t="s">
        <v>311</v>
      </c>
      <c r="B307" t="str">
        <f t="shared" ca="1" si="25"/>
        <v>HPLC_01</v>
      </c>
      <c r="C307">
        <f t="shared" ca="1" si="26"/>
        <v>5.41</v>
      </c>
      <c r="D307">
        <f t="shared" ca="1" si="27"/>
        <v>10398</v>
      </c>
      <c r="E307">
        <f t="shared" ca="1" si="24"/>
        <v>0.12109333109417529</v>
      </c>
      <c r="F307">
        <f t="shared" ca="1" si="28"/>
        <v>1.04</v>
      </c>
      <c r="G307" s="2">
        <f t="shared" ca="1" si="29"/>
        <v>45676</v>
      </c>
    </row>
    <row r="308" spans="1:7" x14ac:dyDescent="0.2">
      <c r="A308" t="s">
        <v>312</v>
      </c>
      <c r="B308" t="str">
        <f t="shared" ca="1" si="25"/>
        <v>HPLC_01</v>
      </c>
      <c r="C308">
        <f t="shared" ca="1" si="26"/>
        <v>5.31</v>
      </c>
      <c r="D308">
        <f t="shared" ca="1" si="27"/>
        <v>10349</v>
      </c>
      <c r="E308">
        <f t="shared" ca="1" si="24"/>
        <v>0.10676536271427374</v>
      </c>
      <c r="F308">
        <f t="shared" ca="1" si="28"/>
        <v>1.03</v>
      </c>
      <c r="G308" s="2">
        <f t="shared" ca="1" si="29"/>
        <v>45689</v>
      </c>
    </row>
    <row r="309" spans="1:7" x14ac:dyDescent="0.2">
      <c r="A309" t="s">
        <v>313</v>
      </c>
      <c r="B309" t="str">
        <f t="shared" ca="1" si="25"/>
        <v>GC_02</v>
      </c>
      <c r="C309">
        <f t="shared" ca="1" si="26"/>
        <v>3.61</v>
      </c>
      <c r="D309">
        <f t="shared" ca="1" si="27"/>
        <v>10127</v>
      </c>
      <c r="E309">
        <f t="shared" ca="1" si="24"/>
        <v>8.032449446418348E-2</v>
      </c>
      <c r="F309">
        <f t="shared" ca="1" si="28"/>
        <v>1.01</v>
      </c>
      <c r="G309" s="2">
        <f t="shared" ca="1" si="29"/>
        <v>45729</v>
      </c>
    </row>
    <row r="310" spans="1:7" x14ac:dyDescent="0.2">
      <c r="A310" t="s">
        <v>314</v>
      </c>
      <c r="B310" t="str">
        <f t="shared" ca="1" si="25"/>
        <v>HPLC_01</v>
      </c>
      <c r="C310">
        <f t="shared" ca="1" si="26"/>
        <v>5.48</v>
      </c>
      <c r="D310">
        <f t="shared" ca="1" si="27"/>
        <v>10681</v>
      </c>
      <c r="E310">
        <f t="shared" ca="1" si="24"/>
        <v>0.10036675552636462</v>
      </c>
      <c r="F310">
        <f t="shared" ca="1" si="28"/>
        <v>1.07</v>
      </c>
      <c r="G310" s="2">
        <f t="shared" ca="1" si="29"/>
        <v>45728</v>
      </c>
    </row>
    <row r="311" spans="1:7" x14ac:dyDescent="0.2">
      <c r="A311" t="s">
        <v>315</v>
      </c>
      <c r="B311" t="str">
        <f t="shared" ca="1" si="25"/>
        <v>HPLC_01</v>
      </c>
      <c r="C311">
        <f t="shared" ca="1" si="26"/>
        <v>5.49</v>
      </c>
      <c r="D311">
        <f t="shared" ca="1" si="27"/>
        <v>10409</v>
      </c>
      <c r="E311">
        <f t="shared" ca="1" si="24"/>
        <v>0.12066443327831732</v>
      </c>
      <c r="F311">
        <f t="shared" ca="1" si="28"/>
        <v>1.04</v>
      </c>
      <c r="G311" s="2">
        <f t="shared" ca="1" si="29"/>
        <v>45705</v>
      </c>
    </row>
    <row r="312" spans="1:7" x14ac:dyDescent="0.2">
      <c r="A312" t="s">
        <v>316</v>
      </c>
      <c r="B312" t="str">
        <f t="shared" ca="1" si="25"/>
        <v>HPLC_01</v>
      </c>
      <c r="C312">
        <f t="shared" ca="1" si="26"/>
        <v>5.19</v>
      </c>
      <c r="D312">
        <f t="shared" ca="1" si="27"/>
        <v>10398</v>
      </c>
      <c r="E312">
        <f t="shared" ca="1" si="24"/>
        <v>0.11019071323446923</v>
      </c>
      <c r="F312">
        <f t="shared" ca="1" si="28"/>
        <v>1.04</v>
      </c>
      <c r="G312" s="2">
        <f t="shared" ca="1" si="29"/>
        <v>45665</v>
      </c>
    </row>
    <row r="313" spans="1:7" x14ac:dyDescent="0.2">
      <c r="A313" t="s">
        <v>317</v>
      </c>
      <c r="B313" t="str">
        <f t="shared" ca="1" si="25"/>
        <v>HPLC_01</v>
      </c>
      <c r="C313">
        <f t="shared" ca="1" si="26"/>
        <v>5.39</v>
      </c>
      <c r="D313">
        <f t="shared" ca="1" si="27"/>
        <v>10010</v>
      </c>
      <c r="E313">
        <f t="shared" ca="1" si="24"/>
        <v>0.11571346859812584</v>
      </c>
      <c r="F313">
        <f t="shared" ca="1" si="28"/>
        <v>1</v>
      </c>
      <c r="G313" s="2">
        <f t="shared" ca="1" si="29"/>
        <v>45703</v>
      </c>
    </row>
    <row r="314" spans="1:7" x14ac:dyDescent="0.2">
      <c r="A314" t="s">
        <v>318</v>
      </c>
      <c r="B314" t="str">
        <f t="shared" ca="1" si="25"/>
        <v>HPLC_01</v>
      </c>
      <c r="C314">
        <f t="shared" ca="1" si="26"/>
        <v>5.41</v>
      </c>
      <c r="D314">
        <f t="shared" ca="1" si="27"/>
        <v>10305</v>
      </c>
      <c r="E314">
        <f t="shared" ca="1" si="24"/>
        <v>0.11112250335542305</v>
      </c>
      <c r="F314">
        <f t="shared" ca="1" si="28"/>
        <v>1.03</v>
      </c>
      <c r="G314" s="2">
        <f t="shared" ca="1" si="29"/>
        <v>45707</v>
      </c>
    </row>
    <row r="315" spans="1:7" x14ac:dyDescent="0.2">
      <c r="A315" t="s">
        <v>319</v>
      </c>
      <c r="B315" t="str">
        <f t="shared" ca="1" si="25"/>
        <v>GC_02</v>
      </c>
      <c r="C315">
        <f t="shared" ca="1" si="26"/>
        <v>3.83</v>
      </c>
      <c r="D315">
        <f t="shared" ca="1" si="27"/>
        <v>10016</v>
      </c>
      <c r="E315">
        <f t="shared" ca="1" si="24"/>
        <v>9.943886023094492E-2</v>
      </c>
      <c r="F315">
        <f t="shared" ca="1" si="28"/>
        <v>1</v>
      </c>
      <c r="G315" s="2">
        <f t="shared" ca="1" si="29"/>
        <v>45678</v>
      </c>
    </row>
    <row r="316" spans="1:7" x14ac:dyDescent="0.2">
      <c r="A316" t="s">
        <v>320</v>
      </c>
      <c r="B316" t="str">
        <f t="shared" ca="1" si="25"/>
        <v>HPLC_01</v>
      </c>
      <c r="C316">
        <f t="shared" ca="1" si="26"/>
        <v>5.41</v>
      </c>
      <c r="D316">
        <f t="shared" ca="1" si="27"/>
        <v>10694</v>
      </c>
      <c r="E316">
        <f t="shared" ca="1" si="24"/>
        <v>0.11736224425196941</v>
      </c>
      <c r="F316">
        <f t="shared" ca="1" si="28"/>
        <v>1.07</v>
      </c>
      <c r="G316" s="2">
        <f t="shared" ca="1" si="29"/>
        <v>45726</v>
      </c>
    </row>
    <row r="317" spans="1:7" x14ac:dyDescent="0.2">
      <c r="A317" t="s">
        <v>321</v>
      </c>
      <c r="B317" t="str">
        <f t="shared" ca="1" si="25"/>
        <v>GC_02</v>
      </c>
      <c r="C317">
        <f t="shared" ca="1" si="26"/>
        <v>3.87</v>
      </c>
      <c r="D317">
        <f t="shared" ca="1" si="27"/>
        <v>9990</v>
      </c>
      <c r="E317">
        <f t="shared" ca="1" si="24"/>
        <v>9.1688084088332719E-2</v>
      </c>
      <c r="F317">
        <f t="shared" ca="1" si="28"/>
        <v>1</v>
      </c>
      <c r="G317" s="2">
        <f t="shared" ca="1" si="29"/>
        <v>45744</v>
      </c>
    </row>
    <row r="318" spans="1:7" x14ac:dyDescent="0.2">
      <c r="A318" t="s">
        <v>322</v>
      </c>
      <c r="B318" t="str">
        <f t="shared" ca="1" si="25"/>
        <v>GC_02</v>
      </c>
      <c r="C318">
        <f t="shared" ca="1" si="26"/>
        <v>3.77</v>
      </c>
      <c r="D318">
        <f t="shared" ca="1" si="27"/>
        <v>9941</v>
      </c>
      <c r="E318">
        <f t="shared" ca="1" si="24"/>
        <v>7.7533932356124796E-2</v>
      </c>
      <c r="F318">
        <f t="shared" ca="1" si="28"/>
        <v>0.99</v>
      </c>
      <c r="G318" s="2">
        <f t="shared" ca="1" si="29"/>
        <v>45723</v>
      </c>
    </row>
    <row r="319" spans="1:7" x14ac:dyDescent="0.2">
      <c r="A319" t="s">
        <v>323</v>
      </c>
      <c r="B319" t="str">
        <f t="shared" ca="1" si="25"/>
        <v>HPLC_01</v>
      </c>
      <c r="C319">
        <f t="shared" ca="1" si="26"/>
        <v>5.38</v>
      </c>
      <c r="D319">
        <f t="shared" ca="1" si="27"/>
        <v>10679</v>
      </c>
      <c r="E319">
        <f t="shared" ca="1" si="24"/>
        <v>0.10543471539156141</v>
      </c>
      <c r="F319">
        <f t="shared" ca="1" si="28"/>
        <v>1.07</v>
      </c>
      <c r="G319" s="2">
        <f t="shared" ca="1" si="29"/>
        <v>45730</v>
      </c>
    </row>
    <row r="320" spans="1:7" x14ac:dyDescent="0.2">
      <c r="A320" t="s">
        <v>324</v>
      </c>
      <c r="B320" t="str">
        <f t="shared" ca="1" si="25"/>
        <v>HPLC_01</v>
      </c>
      <c r="C320">
        <f t="shared" ca="1" si="26"/>
        <v>5.34</v>
      </c>
      <c r="D320">
        <f t="shared" ca="1" si="27"/>
        <v>10126</v>
      </c>
      <c r="E320">
        <f t="shared" ca="1" si="24"/>
        <v>9.4635087042770821E-2</v>
      </c>
      <c r="F320">
        <f t="shared" ca="1" si="28"/>
        <v>1.01</v>
      </c>
      <c r="G320" s="2">
        <f t="shared" ca="1" si="29"/>
        <v>45676</v>
      </c>
    </row>
    <row r="321" spans="1:7" x14ac:dyDescent="0.2">
      <c r="A321" t="s">
        <v>325</v>
      </c>
      <c r="B321" t="str">
        <f t="shared" ca="1" si="25"/>
        <v>GC_02</v>
      </c>
      <c r="C321">
        <f t="shared" ca="1" si="26"/>
        <v>3.76</v>
      </c>
      <c r="D321">
        <f t="shared" ca="1" si="27"/>
        <v>10114</v>
      </c>
      <c r="E321">
        <f t="shared" ca="1" si="24"/>
        <v>8.2137123079297783E-2</v>
      </c>
      <c r="F321">
        <f t="shared" ca="1" si="28"/>
        <v>1.01</v>
      </c>
      <c r="G321" s="2">
        <f t="shared" ca="1" si="29"/>
        <v>45718</v>
      </c>
    </row>
    <row r="322" spans="1:7" x14ac:dyDescent="0.2">
      <c r="A322" t="s">
        <v>326</v>
      </c>
      <c r="B322" t="str">
        <f t="shared" ca="1" si="25"/>
        <v>HPLC_01</v>
      </c>
      <c r="C322">
        <f t="shared" ca="1" si="26"/>
        <v>5.17</v>
      </c>
      <c r="D322">
        <f t="shared" ca="1" si="27"/>
        <v>10134</v>
      </c>
      <c r="E322">
        <f t="shared" ca="1" si="24"/>
        <v>0.10526704637444564</v>
      </c>
      <c r="F322">
        <f t="shared" ca="1" si="28"/>
        <v>1.01</v>
      </c>
      <c r="G322" s="2">
        <f t="shared" ca="1" si="29"/>
        <v>45675</v>
      </c>
    </row>
    <row r="323" spans="1:7" x14ac:dyDescent="0.2">
      <c r="A323" t="s">
        <v>327</v>
      </c>
      <c r="B323" t="str">
        <f t="shared" ca="1" si="25"/>
        <v>GC_02</v>
      </c>
      <c r="C323">
        <f t="shared" ca="1" si="26"/>
        <v>3.55</v>
      </c>
      <c r="D323">
        <f t="shared" ca="1" si="27"/>
        <v>9847</v>
      </c>
      <c r="E323">
        <f t="shared" ref="E323:E386" ca="1" si="30">MAX(0.03, 0.03 + 0.015 * C323 + _xlfn.NORM.S.INV(RAND()) * 0.01)</f>
        <v>9.2713517745951213E-2</v>
      </c>
      <c r="F323">
        <f t="shared" ca="1" si="28"/>
        <v>0.98</v>
      </c>
      <c r="G323" s="2">
        <f t="shared" ca="1" si="29"/>
        <v>45746</v>
      </c>
    </row>
    <row r="324" spans="1:7" x14ac:dyDescent="0.2">
      <c r="A324" t="s">
        <v>328</v>
      </c>
      <c r="B324" t="str">
        <f t="shared" ca="1" si="25"/>
        <v>HPLC_01</v>
      </c>
      <c r="C324">
        <f t="shared" ca="1" si="26"/>
        <v>5.33</v>
      </c>
      <c r="D324">
        <f t="shared" ca="1" si="27"/>
        <v>10179</v>
      </c>
      <c r="E324">
        <f t="shared" ca="1" si="30"/>
        <v>0.11028454018510946</v>
      </c>
      <c r="F324">
        <f t="shared" ca="1" si="28"/>
        <v>1.02</v>
      </c>
      <c r="G324" s="2">
        <f t="shared" ca="1" si="29"/>
        <v>45702</v>
      </c>
    </row>
    <row r="325" spans="1:7" x14ac:dyDescent="0.2">
      <c r="A325" t="s">
        <v>329</v>
      </c>
      <c r="B325" t="str">
        <f t="shared" ca="1" si="25"/>
        <v>GC_02</v>
      </c>
      <c r="C325">
        <f t="shared" ca="1" si="26"/>
        <v>3.74</v>
      </c>
      <c r="D325">
        <f t="shared" ca="1" si="27"/>
        <v>9753</v>
      </c>
      <c r="E325">
        <f t="shared" ca="1" si="30"/>
        <v>0.1003918089975193</v>
      </c>
      <c r="F325">
        <f t="shared" ca="1" si="28"/>
        <v>0.98</v>
      </c>
      <c r="G325" s="2">
        <f t="shared" ca="1" si="29"/>
        <v>45670</v>
      </c>
    </row>
    <row r="326" spans="1:7" x14ac:dyDescent="0.2">
      <c r="A326" t="s">
        <v>330</v>
      </c>
      <c r="B326" t="str">
        <f t="shared" ref="B326:B389" ca="1" si="31">IF(RAND()&lt;0.5, "HPLC_01", "GC_02")</f>
        <v>HPLC_01</v>
      </c>
      <c r="C326">
        <f t="shared" ref="C326:C389" ca="1" si="32">IF(B326="HPLC_01",ROUND(5+RAND()*0.5,2),ROUND(3.5+RAND()*0.4,2))</f>
        <v>5.49</v>
      </c>
      <c r="D326">
        <f t="shared" ref="D326:D389" ca="1" si="33">IF(B326="HPLC_01",ROUND(10000+RAND()*800,0),ROUND(9500+RAND()*700,0))</f>
        <v>10643</v>
      </c>
      <c r="E326">
        <f t="shared" ca="1" si="30"/>
        <v>0.12265826172602566</v>
      </c>
      <c r="F326">
        <f t="shared" ref="F326:F389" ca="1" si="34">ROUND(D326/10000,2)</f>
        <v>1.06</v>
      </c>
      <c r="G326" s="2">
        <f t="shared" ref="G326:G389" ca="1" si="35">DATE(2025,1,1)+RANDBETWEEN(0,90)</f>
        <v>45682</v>
      </c>
    </row>
    <row r="327" spans="1:7" x14ac:dyDescent="0.2">
      <c r="A327" t="s">
        <v>331</v>
      </c>
      <c r="B327" t="str">
        <f t="shared" ca="1" si="31"/>
        <v>HPLC_01</v>
      </c>
      <c r="C327">
        <f t="shared" ca="1" si="32"/>
        <v>5.18</v>
      </c>
      <c r="D327">
        <f t="shared" ca="1" si="33"/>
        <v>10602</v>
      </c>
      <c r="E327">
        <f t="shared" ca="1" si="30"/>
        <v>0.10891095521735299</v>
      </c>
      <c r="F327">
        <f t="shared" ca="1" si="34"/>
        <v>1.06</v>
      </c>
      <c r="G327" s="2">
        <f t="shared" ca="1" si="35"/>
        <v>45659</v>
      </c>
    </row>
    <row r="328" spans="1:7" x14ac:dyDescent="0.2">
      <c r="A328" t="s">
        <v>332</v>
      </c>
      <c r="B328" t="str">
        <f t="shared" ca="1" si="31"/>
        <v>HPLC_01</v>
      </c>
      <c r="C328">
        <f t="shared" ca="1" si="32"/>
        <v>5.45</v>
      </c>
      <c r="D328">
        <f t="shared" ca="1" si="33"/>
        <v>10004</v>
      </c>
      <c r="E328">
        <f t="shared" ca="1" si="30"/>
        <v>0.13088793164685275</v>
      </c>
      <c r="F328">
        <f t="shared" ca="1" si="34"/>
        <v>1</v>
      </c>
      <c r="G328" s="2">
        <f t="shared" ca="1" si="35"/>
        <v>45670</v>
      </c>
    </row>
    <row r="329" spans="1:7" x14ac:dyDescent="0.2">
      <c r="A329" t="s">
        <v>333</v>
      </c>
      <c r="B329" t="str">
        <f t="shared" ca="1" si="31"/>
        <v>HPLC_01</v>
      </c>
      <c r="C329">
        <f t="shared" ca="1" si="32"/>
        <v>5.37</v>
      </c>
      <c r="D329">
        <f t="shared" ca="1" si="33"/>
        <v>10260</v>
      </c>
      <c r="E329">
        <f t="shared" ca="1" si="30"/>
        <v>0.11260403151169336</v>
      </c>
      <c r="F329">
        <f t="shared" ca="1" si="34"/>
        <v>1.03</v>
      </c>
      <c r="G329" s="2">
        <f t="shared" ca="1" si="35"/>
        <v>45672</v>
      </c>
    </row>
    <row r="330" spans="1:7" x14ac:dyDescent="0.2">
      <c r="A330" t="s">
        <v>334</v>
      </c>
      <c r="B330" t="str">
        <f t="shared" ca="1" si="31"/>
        <v>HPLC_01</v>
      </c>
      <c r="C330">
        <f t="shared" ca="1" si="32"/>
        <v>5.05</v>
      </c>
      <c r="D330">
        <f t="shared" ca="1" si="33"/>
        <v>10575</v>
      </c>
      <c r="E330">
        <f t="shared" ca="1" si="30"/>
        <v>8.1016984658142957E-2</v>
      </c>
      <c r="F330">
        <f t="shared" ca="1" si="34"/>
        <v>1.06</v>
      </c>
      <c r="G330" s="2">
        <f t="shared" ca="1" si="35"/>
        <v>45684</v>
      </c>
    </row>
    <row r="331" spans="1:7" x14ac:dyDescent="0.2">
      <c r="A331" t="s">
        <v>335</v>
      </c>
      <c r="B331" t="str">
        <f t="shared" ca="1" si="31"/>
        <v>GC_02</v>
      </c>
      <c r="C331">
        <f t="shared" ca="1" si="32"/>
        <v>3.82</v>
      </c>
      <c r="D331">
        <f t="shared" ca="1" si="33"/>
        <v>9816</v>
      </c>
      <c r="E331">
        <f t="shared" ca="1" si="30"/>
        <v>8.7616966619651557E-2</v>
      </c>
      <c r="F331">
        <f t="shared" ca="1" si="34"/>
        <v>0.98</v>
      </c>
      <c r="G331" s="2">
        <f t="shared" ca="1" si="35"/>
        <v>45674</v>
      </c>
    </row>
    <row r="332" spans="1:7" x14ac:dyDescent="0.2">
      <c r="A332" t="s">
        <v>336</v>
      </c>
      <c r="B332" t="str">
        <f t="shared" ca="1" si="31"/>
        <v>HPLC_01</v>
      </c>
      <c r="C332">
        <f t="shared" ca="1" si="32"/>
        <v>5.26</v>
      </c>
      <c r="D332">
        <f t="shared" ca="1" si="33"/>
        <v>10696</v>
      </c>
      <c r="E332">
        <f t="shared" ca="1" si="30"/>
        <v>0.11939203145585985</v>
      </c>
      <c r="F332">
        <f t="shared" ca="1" si="34"/>
        <v>1.07</v>
      </c>
      <c r="G332" s="2">
        <f t="shared" ca="1" si="35"/>
        <v>45660</v>
      </c>
    </row>
    <row r="333" spans="1:7" x14ac:dyDescent="0.2">
      <c r="A333" t="s">
        <v>337</v>
      </c>
      <c r="B333" t="str">
        <f t="shared" ca="1" si="31"/>
        <v>HPLC_01</v>
      </c>
      <c r="C333">
        <f t="shared" ca="1" si="32"/>
        <v>5.26</v>
      </c>
      <c r="D333">
        <f t="shared" ca="1" si="33"/>
        <v>10736</v>
      </c>
      <c r="E333">
        <f t="shared" ca="1" si="30"/>
        <v>0.11494056093752542</v>
      </c>
      <c r="F333">
        <f t="shared" ca="1" si="34"/>
        <v>1.07</v>
      </c>
      <c r="G333" s="2">
        <f t="shared" ca="1" si="35"/>
        <v>45697</v>
      </c>
    </row>
    <row r="334" spans="1:7" x14ac:dyDescent="0.2">
      <c r="A334" t="s">
        <v>338</v>
      </c>
      <c r="B334" t="str">
        <f t="shared" ca="1" si="31"/>
        <v>HPLC_01</v>
      </c>
      <c r="C334">
        <f t="shared" ca="1" si="32"/>
        <v>5.48</v>
      </c>
      <c r="D334">
        <f t="shared" ca="1" si="33"/>
        <v>10297</v>
      </c>
      <c r="E334">
        <f t="shared" ca="1" si="30"/>
        <v>0.14227864099604054</v>
      </c>
      <c r="F334">
        <f t="shared" ca="1" si="34"/>
        <v>1.03</v>
      </c>
      <c r="G334" s="2">
        <f t="shared" ca="1" si="35"/>
        <v>45683</v>
      </c>
    </row>
    <row r="335" spans="1:7" x14ac:dyDescent="0.2">
      <c r="A335" t="s">
        <v>339</v>
      </c>
      <c r="B335" t="str">
        <f t="shared" ca="1" si="31"/>
        <v>GC_02</v>
      </c>
      <c r="C335">
        <f t="shared" ca="1" si="32"/>
        <v>3.59</v>
      </c>
      <c r="D335">
        <f t="shared" ca="1" si="33"/>
        <v>10197</v>
      </c>
      <c r="E335">
        <f t="shared" ca="1" si="30"/>
        <v>8.5836381338593837E-2</v>
      </c>
      <c r="F335">
        <f t="shared" ca="1" si="34"/>
        <v>1.02</v>
      </c>
      <c r="G335" s="2">
        <f t="shared" ca="1" si="35"/>
        <v>45748</v>
      </c>
    </row>
    <row r="336" spans="1:7" x14ac:dyDescent="0.2">
      <c r="A336" t="s">
        <v>340</v>
      </c>
      <c r="B336" t="str">
        <f t="shared" ca="1" si="31"/>
        <v>HPLC_01</v>
      </c>
      <c r="C336">
        <f t="shared" ca="1" si="32"/>
        <v>5.16</v>
      </c>
      <c r="D336">
        <f t="shared" ca="1" si="33"/>
        <v>10193</v>
      </c>
      <c r="E336">
        <f t="shared" ca="1" si="30"/>
        <v>0.11633092265538203</v>
      </c>
      <c r="F336">
        <f t="shared" ca="1" si="34"/>
        <v>1.02</v>
      </c>
      <c r="G336" s="2">
        <f t="shared" ca="1" si="35"/>
        <v>45733</v>
      </c>
    </row>
    <row r="337" spans="1:7" x14ac:dyDescent="0.2">
      <c r="A337" t="s">
        <v>341</v>
      </c>
      <c r="B337" t="str">
        <f t="shared" ca="1" si="31"/>
        <v>GC_02</v>
      </c>
      <c r="C337">
        <f t="shared" ca="1" si="32"/>
        <v>3.85</v>
      </c>
      <c r="D337">
        <f t="shared" ca="1" si="33"/>
        <v>9578</v>
      </c>
      <c r="E337">
        <f t="shared" ca="1" si="30"/>
        <v>9.6442825324043552E-2</v>
      </c>
      <c r="F337">
        <f t="shared" ca="1" si="34"/>
        <v>0.96</v>
      </c>
      <c r="G337" s="2">
        <f t="shared" ca="1" si="35"/>
        <v>45724</v>
      </c>
    </row>
    <row r="338" spans="1:7" x14ac:dyDescent="0.2">
      <c r="A338" t="s">
        <v>342</v>
      </c>
      <c r="B338" t="str">
        <f t="shared" ca="1" si="31"/>
        <v>GC_02</v>
      </c>
      <c r="C338">
        <f t="shared" ca="1" si="32"/>
        <v>3.59</v>
      </c>
      <c r="D338">
        <f t="shared" ca="1" si="33"/>
        <v>9630</v>
      </c>
      <c r="E338">
        <f t="shared" ca="1" si="30"/>
        <v>8.1545056161545976E-2</v>
      </c>
      <c r="F338">
        <f t="shared" ca="1" si="34"/>
        <v>0.96</v>
      </c>
      <c r="G338" s="2">
        <f t="shared" ca="1" si="35"/>
        <v>45742</v>
      </c>
    </row>
    <row r="339" spans="1:7" x14ac:dyDescent="0.2">
      <c r="A339" t="s">
        <v>343</v>
      </c>
      <c r="B339" t="str">
        <f t="shared" ca="1" si="31"/>
        <v>GC_02</v>
      </c>
      <c r="C339">
        <f t="shared" ca="1" si="32"/>
        <v>3.83</v>
      </c>
      <c r="D339">
        <f t="shared" ca="1" si="33"/>
        <v>9757</v>
      </c>
      <c r="E339">
        <f t="shared" ca="1" si="30"/>
        <v>9.1353605088784026E-2</v>
      </c>
      <c r="F339">
        <f t="shared" ca="1" si="34"/>
        <v>0.98</v>
      </c>
      <c r="G339" s="2">
        <f t="shared" ca="1" si="35"/>
        <v>45739</v>
      </c>
    </row>
    <row r="340" spans="1:7" x14ac:dyDescent="0.2">
      <c r="A340" t="s">
        <v>344</v>
      </c>
      <c r="B340" t="str">
        <f t="shared" ca="1" si="31"/>
        <v>GC_02</v>
      </c>
      <c r="C340">
        <f t="shared" ca="1" si="32"/>
        <v>3.67</v>
      </c>
      <c r="D340">
        <f t="shared" ca="1" si="33"/>
        <v>10194</v>
      </c>
      <c r="E340">
        <f t="shared" ca="1" si="30"/>
        <v>9.2663972873727296E-2</v>
      </c>
      <c r="F340">
        <f t="shared" ca="1" si="34"/>
        <v>1.02</v>
      </c>
      <c r="G340" s="2">
        <f t="shared" ca="1" si="35"/>
        <v>45672</v>
      </c>
    </row>
    <row r="341" spans="1:7" x14ac:dyDescent="0.2">
      <c r="A341" t="s">
        <v>345</v>
      </c>
      <c r="B341" t="str">
        <f t="shared" ca="1" si="31"/>
        <v>GC_02</v>
      </c>
      <c r="C341">
        <f t="shared" ca="1" si="32"/>
        <v>3.54</v>
      </c>
      <c r="D341">
        <f t="shared" ca="1" si="33"/>
        <v>9721</v>
      </c>
      <c r="E341">
        <f t="shared" ca="1" si="30"/>
        <v>6.9008018216172293E-2</v>
      </c>
      <c r="F341">
        <f t="shared" ca="1" si="34"/>
        <v>0.97</v>
      </c>
      <c r="G341" s="2">
        <f t="shared" ca="1" si="35"/>
        <v>45725</v>
      </c>
    </row>
    <row r="342" spans="1:7" x14ac:dyDescent="0.2">
      <c r="A342" t="s">
        <v>346</v>
      </c>
      <c r="B342" t="str">
        <f t="shared" ca="1" si="31"/>
        <v>GC_02</v>
      </c>
      <c r="C342">
        <f t="shared" ca="1" si="32"/>
        <v>3.88</v>
      </c>
      <c r="D342">
        <f t="shared" ca="1" si="33"/>
        <v>9794</v>
      </c>
      <c r="E342">
        <f t="shared" ca="1" si="30"/>
        <v>0.10667292456178501</v>
      </c>
      <c r="F342">
        <f t="shared" ca="1" si="34"/>
        <v>0.98</v>
      </c>
      <c r="G342" s="2">
        <f t="shared" ca="1" si="35"/>
        <v>45661</v>
      </c>
    </row>
    <row r="343" spans="1:7" x14ac:dyDescent="0.2">
      <c r="A343" t="s">
        <v>347</v>
      </c>
      <c r="B343" t="str">
        <f t="shared" ca="1" si="31"/>
        <v>HPLC_01</v>
      </c>
      <c r="C343">
        <f t="shared" ca="1" si="32"/>
        <v>5.27</v>
      </c>
      <c r="D343">
        <f t="shared" ca="1" si="33"/>
        <v>10021</v>
      </c>
      <c r="E343">
        <f t="shared" ca="1" si="30"/>
        <v>0.10811363379941072</v>
      </c>
      <c r="F343">
        <f t="shared" ca="1" si="34"/>
        <v>1</v>
      </c>
      <c r="G343" s="2">
        <f t="shared" ca="1" si="35"/>
        <v>45676</v>
      </c>
    </row>
    <row r="344" spans="1:7" x14ac:dyDescent="0.2">
      <c r="A344" t="s">
        <v>348</v>
      </c>
      <c r="B344" t="str">
        <f t="shared" ca="1" si="31"/>
        <v>HPLC_01</v>
      </c>
      <c r="C344">
        <f t="shared" ca="1" si="32"/>
        <v>5.39</v>
      </c>
      <c r="D344">
        <f t="shared" ca="1" si="33"/>
        <v>10496</v>
      </c>
      <c r="E344">
        <f t="shared" ca="1" si="30"/>
        <v>0.10945677909805844</v>
      </c>
      <c r="F344">
        <f t="shared" ca="1" si="34"/>
        <v>1.05</v>
      </c>
      <c r="G344" s="2">
        <f t="shared" ca="1" si="35"/>
        <v>45740</v>
      </c>
    </row>
    <row r="345" spans="1:7" x14ac:dyDescent="0.2">
      <c r="A345" t="s">
        <v>349</v>
      </c>
      <c r="B345" t="str">
        <f t="shared" ca="1" si="31"/>
        <v>HPLC_01</v>
      </c>
      <c r="C345">
        <f t="shared" ca="1" si="32"/>
        <v>5.07</v>
      </c>
      <c r="D345">
        <f t="shared" ca="1" si="33"/>
        <v>10000</v>
      </c>
      <c r="E345">
        <f t="shared" ca="1" si="30"/>
        <v>0.11551059142141945</v>
      </c>
      <c r="F345">
        <f t="shared" ca="1" si="34"/>
        <v>1</v>
      </c>
      <c r="G345" s="2">
        <f t="shared" ca="1" si="35"/>
        <v>45664</v>
      </c>
    </row>
    <row r="346" spans="1:7" x14ac:dyDescent="0.2">
      <c r="A346" t="s">
        <v>350</v>
      </c>
      <c r="B346" t="str">
        <f t="shared" ca="1" si="31"/>
        <v>HPLC_01</v>
      </c>
      <c r="C346">
        <f t="shared" ca="1" si="32"/>
        <v>5.08</v>
      </c>
      <c r="D346">
        <f t="shared" ca="1" si="33"/>
        <v>10241</v>
      </c>
      <c r="E346">
        <f t="shared" ca="1" si="30"/>
        <v>0.11245410572341653</v>
      </c>
      <c r="F346">
        <f t="shared" ca="1" si="34"/>
        <v>1.02</v>
      </c>
      <c r="G346" s="2">
        <f t="shared" ca="1" si="35"/>
        <v>45722</v>
      </c>
    </row>
    <row r="347" spans="1:7" x14ac:dyDescent="0.2">
      <c r="A347" t="s">
        <v>351</v>
      </c>
      <c r="B347" t="str">
        <f t="shared" ca="1" si="31"/>
        <v>HPLC_01</v>
      </c>
      <c r="C347">
        <f t="shared" ca="1" si="32"/>
        <v>5.23</v>
      </c>
      <c r="D347">
        <f t="shared" ca="1" si="33"/>
        <v>10633</v>
      </c>
      <c r="E347">
        <f t="shared" ca="1" si="30"/>
        <v>0.1178288155489699</v>
      </c>
      <c r="F347">
        <f t="shared" ca="1" si="34"/>
        <v>1.06</v>
      </c>
      <c r="G347" s="2">
        <f t="shared" ca="1" si="35"/>
        <v>45664</v>
      </c>
    </row>
    <row r="348" spans="1:7" x14ac:dyDescent="0.2">
      <c r="A348" t="s">
        <v>352</v>
      </c>
      <c r="B348" t="str">
        <f t="shared" ca="1" si="31"/>
        <v>HPLC_01</v>
      </c>
      <c r="C348">
        <f t="shared" ca="1" si="32"/>
        <v>5.12</v>
      </c>
      <c r="D348">
        <f t="shared" ca="1" si="33"/>
        <v>10249</v>
      </c>
      <c r="E348">
        <f t="shared" ca="1" si="30"/>
        <v>0.10650136863148343</v>
      </c>
      <c r="F348">
        <f t="shared" ca="1" si="34"/>
        <v>1.02</v>
      </c>
      <c r="G348" s="2">
        <f t="shared" ca="1" si="35"/>
        <v>45728</v>
      </c>
    </row>
    <row r="349" spans="1:7" x14ac:dyDescent="0.2">
      <c r="A349" t="s">
        <v>353</v>
      </c>
      <c r="B349" t="str">
        <f t="shared" ca="1" si="31"/>
        <v>GC_02</v>
      </c>
      <c r="C349">
        <f t="shared" ca="1" si="32"/>
        <v>3.78</v>
      </c>
      <c r="D349">
        <f t="shared" ca="1" si="33"/>
        <v>9537</v>
      </c>
      <c r="E349">
        <f t="shared" ca="1" si="30"/>
        <v>7.2673140492691524E-2</v>
      </c>
      <c r="F349">
        <f t="shared" ca="1" si="34"/>
        <v>0.95</v>
      </c>
      <c r="G349" s="2">
        <f t="shared" ca="1" si="35"/>
        <v>45712</v>
      </c>
    </row>
    <row r="350" spans="1:7" x14ac:dyDescent="0.2">
      <c r="A350" t="s">
        <v>354</v>
      </c>
      <c r="B350" t="str">
        <f t="shared" ca="1" si="31"/>
        <v>GC_02</v>
      </c>
      <c r="C350">
        <f t="shared" ca="1" si="32"/>
        <v>3.72</v>
      </c>
      <c r="D350">
        <f t="shared" ca="1" si="33"/>
        <v>9955</v>
      </c>
      <c r="E350">
        <f t="shared" ca="1" si="30"/>
        <v>7.7173677363398072E-2</v>
      </c>
      <c r="F350">
        <f t="shared" ca="1" si="34"/>
        <v>1</v>
      </c>
      <c r="G350" s="2">
        <f t="shared" ca="1" si="35"/>
        <v>45678</v>
      </c>
    </row>
    <row r="351" spans="1:7" x14ac:dyDescent="0.2">
      <c r="A351" t="s">
        <v>355</v>
      </c>
      <c r="B351" t="str">
        <f t="shared" ca="1" si="31"/>
        <v>GC_02</v>
      </c>
      <c r="C351">
        <f t="shared" ca="1" si="32"/>
        <v>3.81</v>
      </c>
      <c r="D351">
        <f t="shared" ca="1" si="33"/>
        <v>9583</v>
      </c>
      <c r="E351">
        <f t="shared" ca="1" si="30"/>
        <v>7.1247740883567723E-2</v>
      </c>
      <c r="F351">
        <f t="shared" ca="1" si="34"/>
        <v>0.96</v>
      </c>
      <c r="G351" s="2">
        <f t="shared" ca="1" si="35"/>
        <v>45666</v>
      </c>
    </row>
    <row r="352" spans="1:7" x14ac:dyDescent="0.2">
      <c r="A352" t="s">
        <v>356</v>
      </c>
      <c r="B352" t="str">
        <f t="shared" ca="1" si="31"/>
        <v>GC_02</v>
      </c>
      <c r="C352">
        <f t="shared" ca="1" si="32"/>
        <v>3.84</v>
      </c>
      <c r="D352">
        <f t="shared" ca="1" si="33"/>
        <v>9694</v>
      </c>
      <c r="E352">
        <f t="shared" ca="1" si="30"/>
        <v>9.9032077378967631E-2</v>
      </c>
      <c r="F352">
        <f t="shared" ca="1" si="34"/>
        <v>0.97</v>
      </c>
      <c r="G352" s="2">
        <f t="shared" ca="1" si="35"/>
        <v>45684</v>
      </c>
    </row>
    <row r="353" spans="1:7" x14ac:dyDescent="0.2">
      <c r="A353" t="s">
        <v>357</v>
      </c>
      <c r="B353" t="str">
        <f t="shared" ca="1" si="31"/>
        <v>HPLC_01</v>
      </c>
      <c r="C353">
        <f t="shared" ca="1" si="32"/>
        <v>5.45</v>
      </c>
      <c r="D353">
        <f t="shared" ca="1" si="33"/>
        <v>10523</v>
      </c>
      <c r="E353">
        <f t="shared" ca="1" si="30"/>
        <v>0.10553060505412698</v>
      </c>
      <c r="F353">
        <f t="shared" ca="1" si="34"/>
        <v>1.05</v>
      </c>
      <c r="G353" s="2">
        <f t="shared" ca="1" si="35"/>
        <v>45710</v>
      </c>
    </row>
    <row r="354" spans="1:7" x14ac:dyDescent="0.2">
      <c r="A354" t="s">
        <v>358</v>
      </c>
      <c r="B354" t="str">
        <f t="shared" ca="1" si="31"/>
        <v>GC_02</v>
      </c>
      <c r="C354">
        <f t="shared" ca="1" si="32"/>
        <v>3.76</v>
      </c>
      <c r="D354">
        <f t="shared" ca="1" si="33"/>
        <v>10174</v>
      </c>
      <c r="E354">
        <f t="shared" ca="1" si="30"/>
        <v>7.4476849969446368E-2</v>
      </c>
      <c r="F354">
        <f t="shared" ca="1" si="34"/>
        <v>1.02</v>
      </c>
      <c r="G354" s="2">
        <f t="shared" ca="1" si="35"/>
        <v>45717</v>
      </c>
    </row>
    <row r="355" spans="1:7" x14ac:dyDescent="0.2">
      <c r="A355" t="s">
        <v>359</v>
      </c>
      <c r="B355" t="str">
        <f t="shared" ca="1" si="31"/>
        <v>HPLC_01</v>
      </c>
      <c r="C355">
        <f t="shared" ca="1" si="32"/>
        <v>5.27</v>
      </c>
      <c r="D355">
        <f t="shared" ca="1" si="33"/>
        <v>10615</v>
      </c>
      <c r="E355">
        <f t="shared" ca="1" si="30"/>
        <v>0.10099603345485096</v>
      </c>
      <c r="F355">
        <f t="shared" ca="1" si="34"/>
        <v>1.06</v>
      </c>
      <c r="G355" s="2">
        <f t="shared" ca="1" si="35"/>
        <v>45687</v>
      </c>
    </row>
    <row r="356" spans="1:7" x14ac:dyDescent="0.2">
      <c r="A356" t="s">
        <v>360</v>
      </c>
      <c r="B356" t="str">
        <f t="shared" ca="1" si="31"/>
        <v>HPLC_01</v>
      </c>
      <c r="C356">
        <f t="shared" ca="1" si="32"/>
        <v>5.0199999999999996</v>
      </c>
      <c r="D356">
        <f t="shared" ca="1" si="33"/>
        <v>10172</v>
      </c>
      <c r="E356">
        <f t="shared" ca="1" si="30"/>
        <v>0.10971749223987491</v>
      </c>
      <c r="F356">
        <f t="shared" ca="1" si="34"/>
        <v>1.02</v>
      </c>
      <c r="G356" s="2">
        <f t="shared" ca="1" si="35"/>
        <v>45684</v>
      </c>
    </row>
    <row r="357" spans="1:7" x14ac:dyDescent="0.2">
      <c r="A357" t="s">
        <v>361</v>
      </c>
      <c r="B357" t="str">
        <f t="shared" ca="1" si="31"/>
        <v>GC_02</v>
      </c>
      <c r="C357">
        <f t="shared" ca="1" si="32"/>
        <v>3.87</v>
      </c>
      <c r="D357">
        <f t="shared" ca="1" si="33"/>
        <v>9878</v>
      </c>
      <c r="E357">
        <f t="shared" ca="1" si="30"/>
        <v>8.6362297740371727E-2</v>
      </c>
      <c r="F357">
        <f t="shared" ca="1" si="34"/>
        <v>0.99</v>
      </c>
      <c r="G357" s="2">
        <f t="shared" ca="1" si="35"/>
        <v>45728</v>
      </c>
    </row>
    <row r="358" spans="1:7" x14ac:dyDescent="0.2">
      <c r="A358" t="s">
        <v>362</v>
      </c>
      <c r="B358" t="str">
        <f t="shared" ca="1" si="31"/>
        <v>GC_02</v>
      </c>
      <c r="C358">
        <f t="shared" ca="1" si="32"/>
        <v>3.67</v>
      </c>
      <c r="D358">
        <f t="shared" ca="1" si="33"/>
        <v>9775</v>
      </c>
      <c r="E358">
        <f t="shared" ca="1" si="30"/>
        <v>0.10045841675676973</v>
      </c>
      <c r="F358">
        <f t="shared" ca="1" si="34"/>
        <v>0.98</v>
      </c>
      <c r="G358" s="2">
        <f t="shared" ca="1" si="35"/>
        <v>45731</v>
      </c>
    </row>
    <row r="359" spans="1:7" x14ac:dyDescent="0.2">
      <c r="A359" t="s">
        <v>363</v>
      </c>
      <c r="B359" t="str">
        <f t="shared" ca="1" si="31"/>
        <v>GC_02</v>
      </c>
      <c r="C359">
        <f t="shared" ca="1" si="32"/>
        <v>3.67</v>
      </c>
      <c r="D359">
        <f t="shared" ca="1" si="33"/>
        <v>9578</v>
      </c>
      <c r="E359">
        <f t="shared" ca="1" si="30"/>
        <v>8.2484795498969921E-2</v>
      </c>
      <c r="F359">
        <f t="shared" ca="1" si="34"/>
        <v>0.96</v>
      </c>
      <c r="G359" s="2">
        <f t="shared" ca="1" si="35"/>
        <v>45743</v>
      </c>
    </row>
    <row r="360" spans="1:7" x14ac:dyDescent="0.2">
      <c r="A360" t="s">
        <v>364</v>
      </c>
      <c r="B360" t="str">
        <f t="shared" ca="1" si="31"/>
        <v>GC_02</v>
      </c>
      <c r="C360">
        <f t="shared" ca="1" si="32"/>
        <v>3.66</v>
      </c>
      <c r="D360">
        <f t="shared" ca="1" si="33"/>
        <v>9549</v>
      </c>
      <c r="E360">
        <f t="shared" ca="1" si="30"/>
        <v>8.0802479669761562E-2</v>
      </c>
      <c r="F360">
        <f t="shared" ca="1" si="34"/>
        <v>0.95</v>
      </c>
      <c r="G360" s="2">
        <f t="shared" ca="1" si="35"/>
        <v>45690</v>
      </c>
    </row>
    <row r="361" spans="1:7" x14ac:dyDescent="0.2">
      <c r="A361" t="s">
        <v>365</v>
      </c>
      <c r="B361" t="str">
        <f t="shared" ca="1" si="31"/>
        <v>HPLC_01</v>
      </c>
      <c r="C361">
        <f t="shared" ca="1" si="32"/>
        <v>5.19</v>
      </c>
      <c r="D361">
        <f t="shared" ca="1" si="33"/>
        <v>10282</v>
      </c>
      <c r="E361">
        <f t="shared" ca="1" si="30"/>
        <v>0.12524954784734568</v>
      </c>
      <c r="F361">
        <f t="shared" ca="1" si="34"/>
        <v>1.03</v>
      </c>
      <c r="G361" s="2">
        <f t="shared" ca="1" si="35"/>
        <v>45740</v>
      </c>
    </row>
    <row r="362" spans="1:7" x14ac:dyDescent="0.2">
      <c r="A362" t="s">
        <v>366</v>
      </c>
      <c r="B362" t="str">
        <f t="shared" ca="1" si="31"/>
        <v>HPLC_01</v>
      </c>
      <c r="C362">
        <f t="shared" ca="1" si="32"/>
        <v>5.48</v>
      </c>
      <c r="D362">
        <f t="shared" ca="1" si="33"/>
        <v>10042</v>
      </c>
      <c r="E362">
        <f t="shared" ca="1" si="30"/>
        <v>0.11876230078701323</v>
      </c>
      <c r="F362">
        <f t="shared" ca="1" si="34"/>
        <v>1</v>
      </c>
      <c r="G362" s="2">
        <f t="shared" ca="1" si="35"/>
        <v>45680</v>
      </c>
    </row>
    <row r="363" spans="1:7" x14ac:dyDescent="0.2">
      <c r="A363" t="s">
        <v>367</v>
      </c>
      <c r="B363" t="str">
        <f t="shared" ca="1" si="31"/>
        <v>GC_02</v>
      </c>
      <c r="C363">
        <f t="shared" ca="1" si="32"/>
        <v>3.78</v>
      </c>
      <c r="D363">
        <f t="shared" ca="1" si="33"/>
        <v>10176</v>
      </c>
      <c r="E363">
        <f t="shared" ca="1" si="30"/>
        <v>8.2096374352595994E-2</v>
      </c>
      <c r="F363">
        <f t="shared" ca="1" si="34"/>
        <v>1.02</v>
      </c>
      <c r="G363" s="2">
        <f t="shared" ca="1" si="35"/>
        <v>45674</v>
      </c>
    </row>
    <row r="364" spans="1:7" x14ac:dyDescent="0.2">
      <c r="A364" t="s">
        <v>368</v>
      </c>
      <c r="B364" t="str">
        <f t="shared" ca="1" si="31"/>
        <v>HPLC_01</v>
      </c>
      <c r="C364">
        <f t="shared" ca="1" si="32"/>
        <v>5.16</v>
      </c>
      <c r="D364">
        <f t="shared" ca="1" si="33"/>
        <v>10073</v>
      </c>
      <c r="E364">
        <f t="shared" ca="1" si="30"/>
        <v>0.10879114421764087</v>
      </c>
      <c r="F364">
        <f t="shared" ca="1" si="34"/>
        <v>1.01</v>
      </c>
      <c r="G364" s="2">
        <f t="shared" ca="1" si="35"/>
        <v>45735</v>
      </c>
    </row>
    <row r="365" spans="1:7" x14ac:dyDescent="0.2">
      <c r="A365" t="s">
        <v>369</v>
      </c>
      <c r="B365" t="str">
        <f t="shared" ca="1" si="31"/>
        <v>HPLC_01</v>
      </c>
      <c r="C365">
        <f t="shared" ca="1" si="32"/>
        <v>5.25</v>
      </c>
      <c r="D365">
        <f t="shared" ca="1" si="33"/>
        <v>10002</v>
      </c>
      <c r="E365">
        <f t="shared" ca="1" si="30"/>
        <v>8.8888889129587492E-2</v>
      </c>
      <c r="F365">
        <f t="shared" ca="1" si="34"/>
        <v>1</v>
      </c>
      <c r="G365" s="2">
        <f t="shared" ca="1" si="35"/>
        <v>45724</v>
      </c>
    </row>
    <row r="366" spans="1:7" x14ac:dyDescent="0.2">
      <c r="A366" t="s">
        <v>370</v>
      </c>
      <c r="B366" t="str">
        <f t="shared" ca="1" si="31"/>
        <v>GC_02</v>
      </c>
      <c r="C366">
        <f t="shared" ca="1" si="32"/>
        <v>3.81</v>
      </c>
      <c r="D366">
        <f t="shared" ca="1" si="33"/>
        <v>9695</v>
      </c>
      <c r="E366">
        <f t="shared" ca="1" si="30"/>
        <v>9.4805509770923155E-2</v>
      </c>
      <c r="F366">
        <f t="shared" ca="1" si="34"/>
        <v>0.97</v>
      </c>
      <c r="G366" s="2">
        <f t="shared" ca="1" si="35"/>
        <v>45719</v>
      </c>
    </row>
    <row r="367" spans="1:7" x14ac:dyDescent="0.2">
      <c r="A367" t="s">
        <v>371</v>
      </c>
      <c r="B367" t="str">
        <f t="shared" ca="1" si="31"/>
        <v>GC_02</v>
      </c>
      <c r="C367">
        <f t="shared" ca="1" si="32"/>
        <v>3.7</v>
      </c>
      <c r="D367">
        <f t="shared" ca="1" si="33"/>
        <v>9615</v>
      </c>
      <c r="E367">
        <f t="shared" ca="1" si="30"/>
        <v>8.5865994504453258E-2</v>
      </c>
      <c r="F367">
        <f t="shared" ca="1" si="34"/>
        <v>0.96</v>
      </c>
      <c r="G367" s="2">
        <f t="shared" ca="1" si="35"/>
        <v>45740</v>
      </c>
    </row>
    <row r="368" spans="1:7" x14ac:dyDescent="0.2">
      <c r="A368" t="s">
        <v>372</v>
      </c>
      <c r="B368" t="str">
        <f t="shared" ca="1" si="31"/>
        <v>GC_02</v>
      </c>
      <c r="C368">
        <f t="shared" ca="1" si="32"/>
        <v>3.8</v>
      </c>
      <c r="D368">
        <f t="shared" ca="1" si="33"/>
        <v>9569</v>
      </c>
      <c r="E368">
        <f t="shared" ca="1" si="30"/>
        <v>7.8716251243598906E-2</v>
      </c>
      <c r="F368">
        <f t="shared" ca="1" si="34"/>
        <v>0.96</v>
      </c>
      <c r="G368" s="2">
        <f t="shared" ca="1" si="35"/>
        <v>45658</v>
      </c>
    </row>
    <row r="369" spans="1:7" x14ac:dyDescent="0.2">
      <c r="A369" t="s">
        <v>373</v>
      </c>
      <c r="B369" t="str">
        <f t="shared" ca="1" si="31"/>
        <v>GC_02</v>
      </c>
      <c r="C369">
        <f t="shared" ca="1" si="32"/>
        <v>3.63</v>
      </c>
      <c r="D369">
        <f t="shared" ca="1" si="33"/>
        <v>10079</v>
      </c>
      <c r="E369">
        <f t="shared" ca="1" si="30"/>
        <v>8.6486271180865645E-2</v>
      </c>
      <c r="F369">
        <f t="shared" ca="1" si="34"/>
        <v>1.01</v>
      </c>
      <c r="G369" s="2">
        <f t="shared" ca="1" si="35"/>
        <v>45661</v>
      </c>
    </row>
    <row r="370" spans="1:7" x14ac:dyDescent="0.2">
      <c r="A370" t="s">
        <v>374</v>
      </c>
      <c r="B370" t="str">
        <f t="shared" ca="1" si="31"/>
        <v>GC_02</v>
      </c>
      <c r="C370">
        <f t="shared" ca="1" si="32"/>
        <v>3.83</v>
      </c>
      <c r="D370">
        <f t="shared" ca="1" si="33"/>
        <v>9791</v>
      </c>
      <c r="E370">
        <f t="shared" ca="1" si="30"/>
        <v>9.9569231245365541E-2</v>
      </c>
      <c r="F370">
        <f t="shared" ca="1" si="34"/>
        <v>0.98</v>
      </c>
      <c r="G370" s="2">
        <f t="shared" ca="1" si="35"/>
        <v>45747</v>
      </c>
    </row>
    <row r="371" spans="1:7" x14ac:dyDescent="0.2">
      <c r="A371" t="s">
        <v>375</v>
      </c>
      <c r="B371" t="str">
        <f t="shared" ca="1" si="31"/>
        <v>HPLC_01</v>
      </c>
      <c r="C371">
        <f t="shared" ca="1" si="32"/>
        <v>5.1100000000000003</v>
      </c>
      <c r="D371">
        <f t="shared" ca="1" si="33"/>
        <v>10147</v>
      </c>
      <c r="E371">
        <f t="shared" ca="1" si="30"/>
        <v>0.1113974131822696</v>
      </c>
      <c r="F371">
        <f t="shared" ca="1" si="34"/>
        <v>1.01</v>
      </c>
      <c r="G371" s="2">
        <f t="shared" ca="1" si="35"/>
        <v>45692</v>
      </c>
    </row>
    <row r="372" spans="1:7" x14ac:dyDescent="0.2">
      <c r="A372" t="s">
        <v>376</v>
      </c>
      <c r="B372" t="str">
        <f t="shared" ca="1" si="31"/>
        <v>HPLC_01</v>
      </c>
      <c r="C372">
        <f t="shared" ca="1" si="32"/>
        <v>5.25</v>
      </c>
      <c r="D372">
        <f t="shared" ca="1" si="33"/>
        <v>10073</v>
      </c>
      <c r="E372">
        <f t="shared" ca="1" si="30"/>
        <v>9.2526080551991352E-2</v>
      </c>
      <c r="F372">
        <f t="shared" ca="1" si="34"/>
        <v>1.01</v>
      </c>
      <c r="G372" s="2">
        <f t="shared" ca="1" si="35"/>
        <v>45696</v>
      </c>
    </row>
    <row r="373" spans="1:7" x14ac:dyDescent="0.2">
      <c r="A373" t="s">
        <v>377</v>
      </c>
      <c r="B373" t="str">
        <f t="shared" ca="1" si="31"/>
        <v>HPLC_01</v>
      </c>
      <c r="C373">
        <f t="shared" ca="1" si="32"/>
        <v>5.0599999999999996</v>
      </c>
      <c r="D373">
        <f t="shared" ca="1" si="33"/>
        <v>10670</v>
      </c>
      <c r="E373">
        <f t="shared" ca="1" si="30"/>
        <v>0.10103815454320847</v>
      </c>
      <c r="F373">
        <f t="shared" ca="1" si="34"/>
        <v>1.07</v>
      </c>
      <c r="G373" s="2">
        <f t="shared" ca="1" si="35"/>
        <v>45715</v>
      </c>
    </row>
    <row r="374" spans="1:7" x14ac:dyDescent="0.2">
      <c r="A374" t="s">
        <v>378</v>
      </c>
      <c r="B374" t="str">
        <f t="shared" ca="1" si="31"/>
        <v>HPLC_01</v>
      </c>
      <c r="C374">
        <f t="shared" ca="1" si="32"/>
        <v>5.5</v>
      </c>
      <c r="D374">
        <f t="shared" ca="1" si="33"/>
        <v>10594</v>
      </c>
      <c r="E374">
        <f t="shared" ca="1" si="30"/>
        <v>0.11118516524546478</v>
      </c>
      <c r="F374">
        <f t="shared" ca="1" si="34"/>
        <v>1.06</v>
      </c>
      <c r="G374" s="2">
        <f t="shared" ca="1" si="35"/>
        <v>45721</v>
      </c>
    </row>
    <row r="375" spans="1:7" x14ac:dyDescent="0.2">
      <c r="A375" t="s">
        <v>379</v>
      </c>
      <c r="B375" t="str">
        <f t="shared" ca="1" si="31"/>
        <v>HPLC_01</v>
      </c>
      <c r="C375">
        <f t="shared" ca="1" si="32"/>
        <v>5.17</v>
      </c>
      <c r="D375">
        <f t="shared" ca="1" si="33"/>
        <v>10121</v>
      </c>
      <c r="E375">
        <f t="shared" ca="1" si="30"/>
        <v>0.12364839289524548</v>
      </c>
      <c r="F375">
        <f t="shared" ca="1" si="34"/>
        <v>1.01</v>
      </c>
      <c r="G375" s="2">
        <f t="shared" ca="1" si="35"/>
        <v>45662</v>
      </c>
    </row>
    <row r="376" spans="1:7" x14ac:dyDescent="0.2">
      <c r="A376" t="s">
        <v>380</v>
      </c>
      <c r="B376" t="str">
        <f t="shared" ca="1" si="31"/>
        <v>HPLC_01</v>
      </c>
      <c r="C376">
        <f t="shared" ca="1" si="32"/>
        <v>5.08</v>
      </c>
      <c r="D376">
        <f t="shared" ca="1" si="33"/>
        <v>10490</v>
      </c>
      <c r="E376">
        <f t="shared" ca="1" si="30"/>
        <v>0.11443176385619304</v>
      </c>
      <c r="F376">
        <f t="shared" ca="1" si="34"/>
        <v>1.05</v>
      </c>
      <c r="G376" s="2">
        <f t="shared" ca="1" si="35"/>
        <v>45659</v>
      </c>
    </row>
    <row r="377" spans="1:7" x14ac:dyDescent="0.2">
      <c r="A377" t="s">
        <v>381</v>
      </c>
      <c r="B377" t="str">
        <f t="shared" ca="1" si="31"/>
        <v>GC_02</v>
      </c>
      <c r="C377">
        <f t="shared" ca="1" si="32"/>
        <v>3.76</v>
      </c>
      <c r="D377">
        <f t="shared" ca="1" si="33"/>
        <v>10090</v>
      </c>
      <c r="E377">
        <f t="shared" ca="1" si="30"/>
        <v>0.10947283476673542</v>
      </c>
      <c r="F377">
        <f t="shared" ca="1" si="34"/>
        <v>1.01</v>
      </c>
      <c r="G377" s="2">
        <f t="shared" ca="1" si="35"/>
        <v>45736</v>
      </c>
    </row>
    <row r="378" spans="1:7" x14ac:dyDescent="0.2">
      <c r="A378" t="s">
        <v>382</v>
      </c>
      <c r="B378" t="str">
        <f t="shared" ca="1" si="31"/>
        <v>HPLC_01</v>
      </c>
      <c r="C378">
        <f t="shared" ca="1" si="32"/>
        <v>5.22</v>
      </c>
      <c r="D378">
        <f t="shared" ca="1" si="33"/>
        <v>10672</v>
      </c>
      <c r="E378">
        <f t="shared" ca="1" si="30"/>
        <v>0.11206510459554921</v>
      </c>
      <c r="F378">
        <f t="shared" ca="1" si="34"/>
        <v>1.07</v>
      </c>
      <c r="G378" s="2">
        <f t="shared" ca="1" si="35"/>
        <v>45710</v>
      </c>
    </row>
    <row r="379" spans="1:7" x14ac:dyDescent="0.2">
      <c r="A379" t="s">
        <v>383</v>
      </c>
      <c r="B379" t="str">
        <f t="shared" ca="1" si="31"/>
        <v>HPLC_01</v>
      </c>
      <c r="C379">
        <f t="shared" ca="1" si="32"/>
        <v>5.45</v>
      </c>
      <c r="D379">
        <f t="shared" ca="1" si="33"/>
        <v>10508</v>
      </c>
      <c r="E379">
        <f t="shared" ca="1" si="30"/>
        <v>0.11052057391702315</v>
      </c>
      <c r="F379">
        <f t="shared" ca="1" si="34"/>
        <v>1.05</v>
      </c>
      <c r="G379" s="2">
        <f t="shared" ca="1" si="35"/>
        <v>45724</v>
      </c>
    </row>
    <row r="380" spans="1:7" x14ac:dyDescent="0.2">
      <c r="A380" t="s">
        <v>384</v>
      </c>
      <c r="B380" t="str">
        <f t="shared" ca="1" si="31"/>
        <v>HPLC_01</v>
      </c>
      <c r="C380">
        <f t="shared" ca="1" si="32"/>
        <v>5.0199999999999996</v>
      </c>
      <c r="D380">
        <f t="shared" ca="1" si="33"/>
        <v>10589</v>
      </c>
      <c r="E380">
        <f t="shared" ca="1" si="30"/>
        <v>0.10320971741186082</v>
      </c>
      <c r="F380">
        <f t="shared" ca="1" si="34"/>
        <v>1.06</v>
      </c>
      <c r="G380" s="2">
        <f t="shared" ca="1" si="35"/>
        <v>45684</v>
      </c>
    </row>
    <row r="381" spans="1:7" x14ac:dyDescent="0.2">
      <c r="A381" t="s">
        <v>385</v>
      </c>
      <c r="B381" t="str">
        <f t="shared" ca="1" si="31"/>
        <v>HPLC_01</v>
      </c>
      <c r="C381">
        <f t="shared" ca="1" si="32"/>
        <v>5.41</v>
      </c>
      <c r="D381">
        <f t="shared" ca="1" si="33"/>
        <v>10662</v>
      </c>
      <c r="E381">
        <f t="shared" ca="1" si="30"/>
        <v>9.1368986026401172E-2</v>
      </c>
      <c r="F381">
        <f t="shared" ca="1" si="34"/>
        <v>1.07</v>
      </c>
      <c r="G381" s="2">
        <f t="shared" ca="1" si="35"/>
        <v>45694</v>
      </c>
    </row>
    <row r="382" spans="1:7" x14ac:dyDescent="0.2">
      <c r="A382" t="s">
        <v>386</v>
      </c>
      <c r="B382" t="str">
        <f t="shared" ca="1" si="31"/>
        <v>GC_02</v>
      </c>
      <c r="C382">
        <f t="shared" ca="1" si="32"/>
        <v>3.9</v>
      </c>
      <c r="D382">
        <f t="shared" ca="1" si="33"/>
        <v>9653</v>
      </c>
      <c r="E382">
        <f t="shared" ca="1" si="30"/>
        <v>8.3668709125115509E-2</v>
      </c>
      <c r="F382">
        <f t="shared" ca="1" si="34"/>
        <v>0.97</v>
      </c>
      <c r="G382" s="2">
        <f t="shared" ca="1" si="35"/>
        <v>45733</v>
      </c>
    </row>
    <row r="383" spans="1:7" x14ac:dyDescent="0.2">
      <c r="A383" t="s">
        <v>387</v>
      </c>
      <c r="B383" t="str">
        <f t="shared" ca="1" si="31"/>
        <v>HPLC_01</v>
      </c>
      <c r="C383">
        <f t="shared" ca="1" si="32"/>
        <v>5.32</v>
      </c>
      <c r="D383">
        <f t="shared" ca="1" si="33"/>
        <v>10080</v>
      </c>
      <c r="E383">
        <f t="shared" ca="1" si="30"/>
        <v>0.11464558540655567</v>
      </c>
      <c r="F383">
        <f t="shared" ca="1" si="34"/>
        <v>1.01</v>
      </c>
      <c r="G383" s="2">
        <f t="shared" ca="1" si="35"/>
        <v>45673</v>
      </c>
    </row>
    <row r="384" spans="1:7" x14ac:dyDescent="0.2">
      <c r="A384" t="s">
        <v>388</v>
      </c>
      <c r="B384" t="str">
        <f t="shared" ca="1" si="31"/>
        <v>GC_02</v>
      </c>
      <c r="C384">
        <f t="shared" ca="1" si="32"/>
        <v>3.65</v>
      </c>
      <c r="D384">
        <f t="shared" ca="1" si="33"/>
        <v>10096</v>
      </c>
      <c r="E384">
        <f t="shared" ca="1" si="30"/>
        <v>9.3938149140558397E-2</v>
      </c>
      <c r="F384">
        <f t="shared" ca="1" si="34"/>
        <v>1.01</v>
      </c>
      <c r="G384" s="2">
        <f t="shared" ca="1" si="35"/>
        <v>45666</v>
      </c>
    </row>
    <row r="385" spans="1:7" x14ac:dyDescent="0.2">
      <c r="A385" t="s">
        <v>389</v>
      </c>
      <c r="B385" t="str">
        <f t="shared" ca="1" si="31"/>
        <v>HPLC_01</v>
      </c>
      <c r="C385">
        <f t="shared" ca="1" si="32"/>
        <v>5.09</v>
      </c>
      <c r="D385">
        <f t="shared" ca="1" si="33"/>
        <v>10423</v>
      </c>
      <c r="E385">
        <f t="shared" ca="1" si="30"/>
        <v>0.11000911288800491</v>
      </c>
      <c r="F385">
        <f t="shared" ca="1" si="34"/>
        <v>1.04</v>
      </c>
      <c r="G385" s="2">
        <f t="shared" ca="1" si="35"/>
        <v>45732</v>
      </c>
    </row>
    <row r="386" spans="1:7" x14ac:dyDescent="0.2">
      <c r="A386" t="s">
        <v>390</v>
      </c>
      <c r="B386" t="str">
        <f t="shared" ca="1" si="31"/>
        <v>GC_02</v>
      </c>
      <c r="C386">
        <f t="shared" ca="1" si="32"/>
        <v>3.58</v>
      </c>
      <c r="D386">
        <f t="shared" ca="1" si="33"/>
        <v>9987</v>
      </c>
      <c r="E386">
        <f t="shared" ca="1" si="30"/>
        <v>9.1493099170341735E-2</v>
      </c>
      <c r="F386">
        <f t="shared" ca="1" si="34"/>
        <v>1</v>
      </c>
      <c r="G386" s="2">
        <f t="shared" ca="1" si="35"/>
        <v>45669</v>
      </c>
    </row>
    <row r="387" spans="1:7" x14ac:dyDescent="0.2">
      <c r="A387" t="s">
        <v>391</v>
      </c>
      <c r="B387" t="str">
        <f t="shared" ca="1" si="31"/>
        <v>GC_02</v>
      </c>
      <c r="C387">
        <f t="shared" ca="1" si="32"/>
        <v>3.72</v>
      </c>
      <c r="D387">
        <f t="shared" ca="1" si="33"/>
        <v>9763</v>
      </c>
      <c r="E387">
        <f t="shared" ref="E387:E450" ca="1" si="36">MAX(0.03, 0.03 + 0.015 * C387 + _xlfn.NORM.S.INV(RAND()) * 0.01)</f>
        <v>0.10395807438605756</v>
      </c>
      <c r="F387">
        <f t="shared" ca="1" si="34"/>
        <v>0.98</v>
      </c>
      <c r="G387" s="2">
        <f t="shared" ca="1" si="35"/>
        <v>45667</v>
      </c>
    </row>
    <row r="388" spans="1:7" x14ac:dyDescent="0.2">
      <c r="A388" t="s">
        <v>392</v>
      </c>
      <c r="B388" t="str">
        <f t="shared" ca="1" si="31"/>
        <v>HPLC_01</v>
      </c>
      <c r="C388">
        <f t="shared" ca="1" si="32"/>
        <v>5.33</v>
      </c>
      <c r="D388">
        <f t="shared" ca="1" si="33"/>
        <v>10548</v>
      </c>
      <c r="E388">
        <f t="shared" ca="1" si="36"/>
        <v>0.10000941443970274</v>
      </c>
      <c r="F388">
        <f t="shared" ca="1" si="34"/>
        <v>1.05</v>
      </c>
      <c r="G388" s="2">
        <f t="shared" ca="1" si="35"/>
        <v>45687</v>
      </c>
    </row>
    <row r="389" spans="1:7" x14ac:dyDescent="0.2">
      <c r="A389" t="s">
        <v>393</v>
      </c>
      <c r="B389" t="str">
        <f t="shared" ca="1" si="31"/>
        <v>HPLC_01</v>
      </c>
      <c r="C389">
        <f t="shared" ca="1" si="32"/>
        <v>5.36</v>
      </c>
      <c r="D389">
        <f t="shared" ca="1" si="33"/>
        <v>10085</v>
      </c>
      <c r="E389">
        <f t="shared" ca="1" si="36"/>
        <v>0.10834720053457672</v>
      </c>
      <c r="F389">
        <f t="shared" ca="1" si="34"/>
        <v>1.01</v>
      </c>
      <c r="G389" s="2">
        <f t="shared" ca="1" si="35"/>
        <v>45712</v>
      </c>
    </row>
    <row r="390" spans="1:7" x14ac:dyDescent="0.2">
      <c r="A390" t="s">
        <v>394</v>
      </c>
      <c r="B390" t="str">
        <f t="shared" ref="B390:B450" ca="1" si="37">IF(RAND()&lt;0.5, "HPLC_01", "GC_02")</f>
        <v>GC_02</v>
      </c>
      <c r="C390">
        <f t="shared" ref="C390:C450" ca="1" si="38">IF(B390="HPLC_01",ROUND(5+RAND()*0.5,2),ROUND(3.5+RAND()*0.4,2))</f>
        <v>3.56</v>
      </c>
      <c r="D390">
        <f t="shared" ref="D390:D450" ca="1" si="39">IF(B390="HPLC_01",ROUND(10000+RAND()*800,0),ROUND(9500+RAND()*700,0))</f>
        <v>9777</v>
      </c>
      <c r="E390">
        <f t="shared" ca="1" si="36"/>
        <v>8.0014365232991172E-2</v>
      </c>
      <c r="F390">
        <f t="shared" ref="F390:F450" ca="1" si="40">ROUND(D390/10000,2)</f>
        <v>0.98</v>
      </c>
      <c r="G390" s="2">
        <f t="shared" ref="G390:G450" ca="1" si="41">DATE(2025,1,1)+RANDBETWEEN(0,90)</f>
        <v>45686</v>
      </c>
    </row>
    <row r="391" spans="1:7" x14ac:dyDescent="0.2">
      <c r="A391" t="s">
        <v>395</v>
      </c>
      <c r="B391" t="str">
        <f t="shared" ca="1" si="37"/>
        <v>GC_02</v>
      </c>
      <c r="C391">
        <f t="shared" ca="1" si="38"/>
        <v>3.75</v>
      </c>
      <c r="D391">
        <f t="shared" ca="1" si="39"/>
        <v>9621</v>
      </c>
      <c r="E391">
        <f t="shared" ca="1" si="36"/>
        <v>7.6918169135102632E-2</v>
      </c>
      <c r="F391">
        <f t="shared" ca="1" si="40"/>
        <v>0.96</v>
      </c>
      <c r="G391" s="2">
        <f t="shared" ca="1" si="41"/>
        <v>45666</v>
      </c>
    </row>
    <row r="392" spans="1:7" x14ac:dyDescent="0.2">
      <c r="A392" t="s">
        <v>396</v>
      </c>
      <c r="B392" t="str">
        <f t="shared" ca="1" si="37"/>
        <v>HPLC_01</v>
      </c>
      <c r="C392">
        <f t="shared" ca="1" si="38"/>
        <v>5.0199999999999996</v>
      </c>
      <c r="D392">
        <f t="shared" ca="1" si="39"/>
        <v>10008</v>
      </c>
      <c r="E392">
        <f t="shared" ca="1" si="36"/>
        <v>9.8597471648766297E-2</v>
      </c>
      <c r="F392">
        <f t="shared" ca="1" si="40"/>
        <v>1</v>
      </c>
      <c r="G392" s="2">
        <f t="shared" ca="1" si="41"/>
        <v>45666</v>
      </c>
    </row>
    <row r="393" spans="1:7" x14ac:dyDescent="0.2">
      <c r="A393" t="s">
        <v>397</v>
      </c>
      <c r="B393" t="str">
        <f t="shared" ca="1" si="37"/>
        <v>HPLC_01</v>
      </c>
      <c r="C393">
        <f t="shared" ca="1" si="38"/>
        <v>5.01</v>
      </c>
      <c r="D393">
        <f t="shared" ca="1" si="39"/>
        <v>10388</v>
      </c>
      <c r="E393">
        <f t="shared" ca="1" si="36"/>
        <v>0.11379346807449842</v>
      </c>
      <c r="F393">
        <f t="shared" ca="1" si="40"/>
        <v>1.04</v>
      </c>
      <c r="G393" s="2">
        <f t="shared" ca="1" si="41"/>
        <v>45746</v>
      </c>
    </row>
    <row r="394" spans="1:7" x14ac:dyDescent="0.2">
      <c r="A394" t="s">
        <v>398</v>
      </c>
      <c r="B394" t="str">
        <f t="shared" ca="1" si="37"/>
        <v>GC_02</v>
      </c>
      <c r="C394">
        <f t="shared" ca="1" si="38"/>
        <v>3.53</v>
      </c>
      <c r="D394">
        <f t="shared" ca="1" si="39"/>
        <v>9920</v>
      </c>
      <c r="E394">
        <f t="shared" ca="1" si="36"/>
        <v>9.7698895408843328E-2</v>
      </c>
      <c r="F394">
        <f t="shared" ca="1" si="40"/>
        <v>0.99</v>
      </c>
      <c r="G394" s="2">
        <f t="shared" ca="1" si="41"/>
        <v>45726</v>
      </c>
    </row>
    <row r="395" spans="1:7" x14ac:dyDescent="0.2">
      <c r="A395" t="s">
        <v>399</v>
      </c>
      <c r="B395" t="str">
        <f t="shared" ca="1" si="37"/>
        <v>GC_02</v>
      </c>
      <c r="C395">
        <f t="shared" ca="1" si="38"/>
        <v>3.65</v>
      </c>
      <c r="D395">
        <f t="shared" ca="1" si="39"/>
        <v>10194</v>
      </c>
      <c r="E395">
        <f t="shared" ca="1" si="36"/>
        <v>8.0661806290679247E-2</v>
      </c>
      <c r="F395">
        <f t="shared" ca="1" si="40"/>
        <v>1.02</v>
      </c>
      <c r="G395" s="2">
        <f t="shared" ca="1" si="41"/>
        <v>45745</v>
      </c>
    </row>
    <row r="396" spans="1:7" x14ac:dyDescent="0.2">
      <c r="A396" t="s">
        <v>400</v>
      </c>
      <c r="B396" t="str">
        <f t="shared" ca="1" si="37"/>
        <v>HPLC_01</v>
      </c>
      <c r="C396">
        <f t="shared" ca="1" si="38"/>
        <v>5.41</v>
      </c>
      <c r="D396">
        <f t="shared" ca="1" si="39"/>
        <v>10114</v>
      </c>
      <c r="E396">
        <f t="shared" ca="1" si="36"/>
        <v>0.11410431598082704</v>
      </c>
      <c r="F396">
        <f t="shared" ca="1" si="40"/>
        <v>1.01</v>
      </c>
      <c r="G396" s="2">
        <f t="shared" ca="1" si="41"/>
        <v>45719</v>
      </c>
    </row>
    <row r="397" spans="1:7" x14ac:dyDescent="0.2">
      <c r="A397" t="s">
        <v>401</v>
      </c>
      <c r="B397" t="str">
        <f t="shared" ca="1" si="37"/>
        <v>GC_02</v>
      </c>
      <c r="C397">
        <f t="shared" ca="1" si="38"/>
        <v>3.84</v>
      </c>
      <c r="D397">
        <f t="shared" ca="1" si="39"/>
        <v>10188</v>
      </c>
      <c r="E397">
        <f t="shared" ca="1" si="36"/>
        <v>8.3103314928883149E-2</v>
      </c>
      <c r="F397">
        <f t="shared" ca="1" si="40"/>
        <v>1.02</v>
      </c>
      <c r="G397" s="2">
        <f t="shared" ca="1" si="41"/>
        <v>45697</v>
      </c>
    </row>
    <row r="398" spans="1:7" x14ac:dyDescent="0.2">
      <c r="A398" t="s">
        <v>402</v>
      </c>
      <c r="B398" t="str">
        <f t="shared" ca="1" si="37"/>
        <v>GC_02</v>
      </c>
      <c r="C398">
        <f t="shared" ca="1" si="38"/>
        <v>3.81</v>
      </c>
      <c r="D398">
        <f t="shared" ca="1" si="39"/>
        <v>9878</v>
      </c>
      <c r="E398">
        <f t="shared" ca="1" si="36"/>
        <v>9.6360701342390206E-2</v>
      </c>
      <c r="F398">
        <f t="shared" ca="1" si="40"/>
        <v>0.99</v>
      </c>
      <c r="G398" s="2">
        <f t="shared" ca="1" si="41"/>
        <v>45748</v>
      </c>
    </row>
    <row r="399" spans="1:7" x14ac:dyDescent="0.2">
      <c r="A399" t="s">
        <v>403</v>
      </c>
      <c r="B399" t="str">
        <f t="shared" ca="1" si="37"/>
        <v>HPLC_01</v>
      </c>
      <c r="C399">
        <f t="shared" ca="1" si="38"/>
        <v>5.22</v>
      </c>
      <c r="D399">
        <f t="shared" ca="1" si="39"/>
        <v>10545</v>
      </c>
      <c r="E399">
        <f t="shared" ca="1" si="36"/>
        <v>0.10613241521574525</v>
      </c>
      <c r="F399">
        <f t="shared" ca="1" si="40"/>
        <v>1.05</v>
      </c>
      <c r="G399" s="2">
        <f t="shared" ca="1" si="41"/>
        <v>45699</v>
      </c>
    </row>
    <row r="400" spans="1:7" x14ac:dyDescent="0.2">
      <c r="A400" t="s">
        <v>404</v>
      </c>
      <c r="B400" t="str">
        <f t="shared" ca="1" si="37"/>
        <v>HPLC_01</v>
      </c>
      <c r="C400">
        <f t="shared" ca="1" si="38"/>
        <v>5.08</v>
      </c>
      <c r="D400">
        <f t="shared" ca="1" si="39"/>
        <v>10266</v>
      </c>
      <c r="E400">
        <f t="shared" ca="1" si="36"/>
        <v>0.10725251487748803</v>
      </c>
      <c r="F400">
        <f t="shared" ca="1" si="40"/>
        <v>1.03</v>
      </c>
      <c r="G400" s="2">
        <f t="shared" ca="1" si="41"/>
        <v>45711</v>
      </c>
    </row>
    <row r="401" spans="1:7" x14ac:dyDescent="0.2">
      <c r="A401" t="s">
        <v>405</v>
      </c>
      <c r="B401" t="str">
        <f t="shared" ca="1" si="37"/>
        <v>GC_02</v>
      </c>
      <c r="C401">
        <f t="shared" ca="1" si="38"/>
        <v>3.67</v>
      </c>
      <c r="D401">
        <f t="shared" ca="1" si="39"/>
        <v>10133</v>
      </c>
      <c r="E401">
        <f t="shared" ca="1" si="36"/>
        <v>8.2960785138230297E-2</v>
      </c>
      <c r="F401">
        <f t="shared" ca="1" si="40"/>
        <v>1.01</v>
      </c>
      <c r="G401" s="2">
        <f t="shared" ca="1" si="41"/>
        <v>45736</v>
      </c>
    </row>
    <row r="402" spans="1:7" x14ac:dyDescent="0.2">
      <c r="A402" t="s">
        <v>406</v>
      </c>
      <c r="B402" t="str">
        <f t="shared" ca="1" si="37"/>
        <v>GC_02</v>
      </c>
      <c r="C402">
        <f t="shared" ca="1" si="38"/>
        <v>3.76</v>
      </c>
      <c r="D402">
        <f t="shared" ca="1" si="39"/>
        <v>9548</v>
      </c>
      <c r="E402">
        <f t="shared" ca="1" si="36"/>
        <v>8.7275579927966404E-2</v>
      </c>
      <c r="F402">
        <f t="shared" ca="1" si="40"/>
        <v>0.95</v>
      </c>
      <c r="G402" s="2">
        <f t="shared" ca="1" si="41"/>
        <v>45722</v>
      </c>
    </row>
    <row r="403" spans="1:7" x14ac:dyDescent="0.2">
      <c r="A403" t="s">
        <v>407</v>
      </c>
      <c r="B403" t="str">
        <f t="shared" ca="1" si="37"/>
        <v>GC_02</v>
      </c>
      <c r="C403">
        <f t="shared" ca="1" si="38"/>
        <v>3.62</v>
      </c>
      <c r="D403">
        <f t="shared" ca="1" si="39"/>
        <v>9660</v>
      </c>
      <c r="E403">
        <f t="shared" ca="1" si="36"/>
        <v>8.3929682380483969E-2</v>
      </c>
      <c r="F403">
        <f t="shared" ca="1" si="40"/>
        <v>0.97</v>
      </c>
      <c r="G403" s="2">
        <f t="shared" ca="1" si="41"/>
        <v>45690</v>
      </c>
    </row>
    <row r="404" spans="1:7" x14ac:dyDescent="0.2">
      <c r="A404" t="s">
        <v>408</v>
      </c>
      <c r="B404" t="str">
        <f t="shared" ca="1" si="37"/>
        <v>GC_02</v>
      </c>
      <c r="C404">
        <f t="shared" ca="1" si="38"/>
        <v>3.87</v>
      </c>
      <c r="D404">
        <f t="shared" ca="1" si="39"/>
        <v>9846</v>
      </c>
      <c r="E404">
        <f t="shared" ca="1" si="36"/>
        <v>8.0552795922767748E-2</v>
      </c>
      <c r="F404">
        <f t="shared" ca="1" si="40"/>
        <v>0.98</v>
      </c>
      <c r="G404" s="2">
        <f t="shared" ca="1" si="41"/>
        <v>45707</v>
      </c>
    </row>
    <row r="405" spans="1:7" x14ac:dyDescent="0.2">
      <c r="A405" t="s">
        <v>409</v>
      </c>
      <c r="B405" t="str">
        <f t="shared" ca="1" si="37"/>
        <v>HPLC_01</v>
      </c>
      <c r="C405">
        <f t="shared" ca="1" si="38"/>
        <v>5.07</v>
      </c>
      <c r="D405">
        <f t="shared" ca="1" si="39"/>
        <v>10346</v>
      </c>
      <c r="E405">
        <f t="shared" ca="1" si="36"/>
        <v>9.3659786970351683E-2</v>
      </c>
      <c r="F405">
        <f t="shared" ca="1" si="40"/>
        <v>1.03</v>
      </c>
      <c r="G405" s="2">
        <f t="shared" ca="1" si="41"/>
        <v>45690</v>
      </c>
    </row>
    <row r="406" spans="1:7" x14ac:dyDescent="0.2">
      <c r="A406" t="s">
        <v>410</v>
      </c>
      <c r="B406" t="str">
        <f t="shared" ca="1" si="37"/>
        <v>HPLC_01</v>
      </c>
      <c r="C406">
        <f t="shared" ca="1" si="38"/>
        <v>5.31</v>
      </c>
      <c r="D406">
        <f t="shared" ca="1" si="39"/>
        <v>10465</v>
      </c>
      <c r="E406">
        <f t="shared" ca="1" si="36"/>
        <v>0.10337253086654541</v>
      </c>
      <c r="F406">
        <f t="shared" ca="1" si="40"/>
        <v>1.05</v>
      </c>
      <c r="G406" s="2">
        <f t="shared" ca="1" si="41"/>
        <v>45674</v>
      </c>
    </row>
    <row r="407" spans="1:7" x14ac:dyDescent="0.2">
      <c r="A407" t="s">
        <v>411</v>
      </c>
      <c r="B407" t="str">
        <f t="shared" ca="1" si="37"/>
        <v>HPLC_01</v>
      </c>
      <c r="C407">
        <f t="shared" ca="1" si="38"/>
        <v>5.04</v>
      </c>
      <c r="D407">
        <f t="shared" ca="1" si="39"/>
        <v>10609</v>
      </c>
      <c r="E407">
        <f t="shared" ca="1" si="36"/>
        <v>0.10722289209641234</v>
      </c>
      <c r="F407">
        <f t="shared" ca="1" si="40"/>
        <v>1.06</v>
      </c>
      <c r="G407" s="2">
        <f t="shared" ca="1" si="41"/>
        <v>45712</v>
      </c>
    </row>
    <row r="408" spans="1:7" x14ac:dyDescent="0.2">
      <c r="A408" t="s">
        <v>412</v>
      </c>
      <c r="B408" t="str">
        <f t="shared" ca="1" si="37"/>
        <v>GC_02</v>
      </c>
      <c r="C408">
        <f t="shared" ca="1" si="38"/>
        <v>3.71</v>
      </c>
      <c r="D408">
        <f t="shared" ca="1" si="39"/>
        <v>9822</v>
      </c>
      <c r="E408">
        <f t="shared" ca="1" si="36"/>
        <v>9.3702178690319007E-2</v>
      </c>
      <c r="F408">
        <f t="shared" ca="1" si="40"/>
        <v>0.98</v>
      </c>
      <c r="G408" s="2">
        <f t="shared" ca="1" si="41"/>
        <v>45672</v>
      </c>
    </row>
    <row r="409" spans="1:7" x14ac:dyDescent="0.2">
      <c r="A409" t="s">
        <v>413</v>
      </c>
      <c r="B409" t="str">
        <f t="shared" ca="1" si="37"/>
        <v>GC_02</v>
      </c>
      <c r="C409">
        <f t="shared" ca="1" si="38"/>
        <v>3.58</v>
      </c>
      <c r="D409">
        <f t="shared" ca="1" si="39"/>
        <v>10001</v>
      </c>
      <c r="E409">
        <f t="shared" ca="1" si="36"/>
        <v>0.10094842076865185</v>
      </c>
      <c r="F409">
        <f t="shared" ca="1" si="40"/>
        <v>1</v>
      </c>
      <c r="G409" s="2">
        <f t="shared" ca="1" si="41"/>
        <v>45709</v>
      </c>
    </row>
    <row r="410" spans="1:7" x14ac:dyDescent="0.2">
      <c r="A410" t="s">
        <v>414</v>
      </c>
      <c r="B410" t="str">
        <f t="shared" ca="1" si="37"/>
        <v>GC_02</v>
      </c>
      <c r="C410">
        <f t="shared" ca="1" si="38"/>
        <v>3.52</v>
      </c>
      <c r="D410">
        <f t="shared" ca="1" si="39"/>
        <v>9543</v>
      </c>
      <c r="E410">
        <f t="shared" ca="1" si="36"/>
        <v>7.6526906831317479E-2</v>
      </c>
      <c r="F410">
        <f t="shared" ca="1" si="40"/>
        <v>0.95</v>
      </c>
      <c r="G410" s="2">
        <f t="shared" ca="1" si="41"/>
        <v>45711</v>
      </c>
    </row>
    <row r="411" spans="1:7" x14ac:dyDescent="0.2">
      <c r="A411" t="s">
        <v>415</v>
      </c>
      <c r="B411" t="str">
        <f t="shared" ca="1" si="37"/>
        <v>HPLC_01</v>
      </c>
      <c r="C411">
        <f t="shared" ca="1" si="38"/>
        <v>5.07</v>
      </c>
      <c r="D411">
        <f t="shared" ca="1" si="39"/>
        <v>10022</v>
      </c>
      <c r="E411">
        <f t="shared" ca="1" si="36"/>
        <v>0.10315953283574708</v>
      </c>
      <c r="F411">
        <f t="shared" ca="1" si="40"/>
        <v>1</v>
      </c>
      <c r="G411" s="2">
        <f t="shared" ca="1" si="41"/>
        <v>45740</v>
      </c>
    </row>
    <row r="412" spans="1:7" x14ac:dyDescent="0.2">
      <c r="A412" t="s">
        <v>416</v>
      </c>
      <c r="B412" t="str">
        <f t="shared" ca="1" si="37"/>
        <v>GC_02</v>
      </c>
      <c r="C412">
        <f t="shared" ca="1" si="38"/>
        <v>3.77</v>
      </c>
      <c r="D412">
        <f t="shared" ca="1" si="39"/>
        <v>9686</v>
      </c>
      <c r="E412">
        <f t="shared" ca="1" si="36"/>
        <v>9.2580331964096096E-2</v>
      </c>
      <c r="F412">
        <f t="shared" ca="1" si="40"/>
        <v>0.97</v>
      </c>
      <c r="G412" s="2">
        <f t="shared" ca="1" si="41"/>
        <v>45687</v>
      </c>
    </row>
    <row r="413" spans="1:7" x14ac:dyDescent="0.2">
      <c r="A413" t="s">
        <v>417</v>
      </c>
      <c r="B413" t="str">
        <f t="shared" ca="1" si="37"/>
        <v>GC_02</v>
      </c>
      <c r="C413">
        <f t="shared" ca="1" si="38"/>
        <v>3.69</v>
      </c>
      <c r="D413">
        <f t="shared" ca="1" si="39"/>
        <v>9685</v>
      </c>
      <c r="E413">
        <f t="shared" ca="1" si="36"/>
        <v>0.10609109302998804</v>
      </c>
      <c r="F413">
        <f t="shared" ca="1" si="40"/>
        <v>0.97</v>
      </c>
      <c r="G413" s="2">
        <f t="shared" ca="1" si="41"/>
        <v>45734</v>
      </c>
    </row>
    <row r="414" spans="1:7" x14ac:dyDescent="0.2">
      <c r="A414" t="s">
        <v>418</v>
      </c>
      <c r="B414" t="str">
        <f t="shared" ca="1" si="37"/>
        <v>HPLC_01</v>
      </c>
      <c r="C414">
        <f t="shared" ca="1" si="38"/>
        <v>5.39</v>
      </c>
      <c r="D414">
        <f t="shared" ca="1" si="39"/>
        <v>10216</v>
      </c>
      <c r="E414">
        <f t="shared" ca="1" si="36"/>
        <v>0.10561031895333629</v>
      </c>
      <c r="F414">
        <f t="shared" ca="1" si="40"/>
        <v>1.02</v>
      </c>
      <c r="G414" s="2">
        <f t="shared" ca="1" si="41"/>
        <v>45703</v>
      </c>
    </row>
    <row r="415" spans="1:7" x14ac:dyDescent="0.2">
      <c r="A415" t="s">
        <v>419</v>
      </c>
      <c r="B415" t="str">
        <f t="shared" ca="1" si="37"/>
        <v>GC_02</v>
      </c>
      <c r="C415">
        <f t="shared" ca="1" si="38"/>
        <v>3.85</v>
      </c>
      <c r="D415">
        <f t="shared" ca="1" si="39"/>
        <v>10097</v>
      </c>
      <c r="E415">
        <f t="shared" ca="1" si="36"/>
        <v>8.2241945478539594E-2</v>
      </c>
      <c r="F415">
        <f t="shared" ca="1" si="40"/>
        <v>1.01</v>
      </c>
      <c r="G415" s="2">
        <f t="shared" ca="1" si="41"/>
        <v>45703</v>
      </c>
    </row>
    <row r="416" spans="1:7" x14ac:dyDescent="0.2">
      <c r="A416" t="s">
        <v>420</v>
      </c>
      <c r="B416" t="str">
        <f t="shared" ca="1" si="37"/>
        <v>HPLC_01</v>
      </c>
      <c r="C416">
        <f t="shared" ca="1" si="38"/>
        <v>5.2</v>
      </c>
      <c r="D416">
        <f t="shared" ca="1" si="39"/>
        <v>10744</v>
      </c>
      <c r="E416">
        <f t="shared" ca="1" si="36"/>
        <v>9.6953122434842109E-2</v>
      </c>
      <c r="F416">
        <f t="shared" ca="1" si="40"/>
        <v>1.07</v>
      </c>
      <c r="G416" s="2">
        <f t="shared" ca="1" si="41"/>
        <v>45729</v>
      </c>
    </row>
    <row r="417" spans="1:7" x14ac:dyDescent="0.2">
      <c r="A417" t="s">
        <v>421</v>
      </c>
      <c r="B417" t="str">
        <f t="shared" ca="1" si="37"/>
        <v>HPLC_01</v>
      </c>
      <c r="C417">
        <f t="shared" ca="1" si="38"/>
        <v>5.05</v>
      </c>
      <c r="D417">
        <f t="shared" ca="1" si="39"/>
        <v>10772</v>
      </c>
      <c r="E417">
        <f t="shared" ca="1" si="36"/>
        <v>0.10795425688918096</v>
      </c>
      <c r="F417">
        <f t="shared" ca="1" si="40"/>
        <v>1.08</v>
      </c>
      <c r="G417" s="2">
        <f t="shared" ca="1" si="41"/>
        <v>45679</v>
      </c>
    </row>
    <row r="418" spans="1:7" x14ac:dyDescent="0.2">
      <c r="A418" t="s">
        <v>422</v>
      </c>
      <c r="B418" t="str">
        <f t="shared" ca="1" si="37"/>
        <v>HPLC_01</v>
      </c>
      <c r="C418">
        <f t="shared" ca="1" si="38"/>
        <v>5.18</v>
      </c>
      <c r="D418">
        <f t="shared" ca="1" si="39"/>
        <v>10252</v>
      </c>
      <c r="E418">
        <f t="shared" ca="1" si="36"/>
        <v>0.11457281412958464</v>
      </c>
      <c r="F418">
        <f t="shared" ca="1" si="40"/>
        <v>1.03</v>
      </c>
      <c r="G418" s="2">
        <f t="shared" ca="1" si="41"/>
        <v>45730</v>
      </c>
    </row>
    <row r="419" spans="1:7" x14ac:dyDescent="0.2">
      <c r="A419" t="s">
        <v>423</v>
      </c>
      <c r="B419" t="str">
        <f t="shared" ca="1" si="37"/>
        <v>GC_02</v>
      </c>
      <c r="C419">
        <f t="shared" ca="1" si="38"/>
        <v>3.82</v>
      </c>
      <c r="D419">
        <f t="shared" ca="1" si="39"/>
        <v>9848</v>
      </c>
      <c r="E419">
        <f t="shared" ca="1" si="36"/>
        <v>7.2463559965322916E-2</v>
      </c>
      <c r="F419">
        <f t="shared" ca="1" si="40"/>
        <v>0.98</v>
      </c>
      <c r="G419" s="2">
        <f t="shared" ca="1" si="41"/>
        <v>45745</v>
      </c>
    </row>
    <row r="420" spans="1:7" x14ac:dyDescent="0.2">
      <c r="A420" t="s">
        <v>424</v>
      </c>
      <c r="B420" t="str">
        <f t="shared" ca="1" si="37"/>
        <v>GC_02</v>
      </c>
      <c r="C420">
        <f t="shared" ca="1" si="38"/>
        <v>3.81</v>
      </c>
      <c r="D420">
        <f t="shared" ca="1" si="39"/>
        <v>9808</v>
      </c>
      <c r="E420">
        <f t="shared" ca="1" si="36"/>
        <v>7.8121751646704901E-2</v>
      </c>
      <c r="F420">
        <f t="shared" ca="1" si="40"/>
        <v>0.98</v>
      </c>
      <c r="G420" s="2">
        <f t="shared" ca="1" si="41"/>
        <v>45672</v>
      </c>
    </row>
    <row r="421" spans="1:7" x14ac:dyDescent="0.2">
      <c r="A421" t="s">
        <v>425</v>
      </c>
      <c r="B421" t="str">
        <f t="shared" ca="1" si="37"/>
        <v>GC_02</v>
      </c>
      <c r="C421">
        <f t="shared" ca="1" si="38"/>
        <v>3.7</v>
      </c>
      <c r="D421">
        <f t="shared" ca="1" si="39"/>
        <v>9605</v>
      </c>
      <c r="E421">
        <f t="shared" ca="1" si="36"/>
        <v>7.7643637804688512E-2</v>
      </c>
      <c r="F421">
        <f t="shared" ca="1" si="40"/>
        <v>0.96</v>
      </c>
      <c r="G421" s="2">
        <f t="shared" ca="1" si="41"/>
        <v>45697</v>
      </c>
    </row>
    <row r="422" spans="1:7" x14ac:dyDescent="0.2">
      <c r="A422" t="s">
        <v>426</v>
      </c>
      <c r="B422" t="str">
        <f t="shared" ca="1" si="37"/>
        <v>HPLC_01</v>
      </c>
      <c r="C422">
        <f t="shared" ca="1" si="38"/>
        <v>5.08</v>
      </c>
      <c r="D422">
        <f t="shared" ca="1" si="39"/>
        <v>10736</v>
      </c>
      <c r="E422">
        <f t="shared" ca="1" si="36"/>
        <v>0.1171895856492753</v>
      </c>
      <c r="F422">
        <f t="shared" ca="1" si="40"/>
        <v>1.07</v>
      </c>
      <c r="G422" s="2">
        <f t="shared" ca="1" si="41"/>
        <v>45741</v>
      </c>
    </row>
    <row r="423" spans="1:7" x14ac:dyDescent="0.2">
      <c r="A423" t="s">
        <v>427</v>
      </c>
      <c r="B423" t="str">
        <f t="shared" ca="1" si="37"/>
        <v>HPLC_01</v>
      </c>
      <c r="C423">
        <f t="shared" ca="1" si="38"/>
        <v>5.48</v>
      </c>
      <c r="D423">
        <f t="shared" ca="1" si="39"/>
        <v>10302</v>
      </c>
      <c r="E423">
        <f t="shared" ca="1" si="36"/>
        <v>0.10092711301133701</v>
      </c>
      <c r="F423">
        <f t="shared" ca="1" si="40"/>
        <v>1.03</v>
      </c>
      <c r="G423" s="2">
        <f t="shared" ca="1" si="41"/>
        <v>45670</v>
      </c>
    </row>
    <row r="424" spans="1:7" x14ac:dyDescent="0.2">
      <c r="A424" t="s">
        <v>428</v>
      </c>
      <c r="B424" t="str">
        <f t="shared" ca="1" si="37"/>
        <v>GC_02</v>
      </c>
      <c r="C424">
        <f t="shared" ca="1" si="38"/>
        <v>3.8</v>
      </c>
      <c r="D424">
        <f t="shared" ca="1" si="39"/>
        <v>10185</v>
      </c>
      <c r="E424">
        <f t="shared" ca="1" si="36"/>
        <v>8.9745975504308809E-2</v>
      </c>
      <c r="F424">
        <f t="shared" ca="1" si="40"/>
        <v>1.02</v>
      </c>
      <c r="G424" s="2">
        <f t="shared" ca="1" si="41"/>
        <v>45699</v>
      </c>
    </row>
    <row r="425" spans="1:7" x14ac:dyDescent="0.2">
      <c r="A425" t="s">
        <v>429</v>
      </c>
      <c r="B425" t="str">
        <f t="shared" ca="1" si="37"/>
        <v>GC_02</v>
      </c>
      <c r="C425">
        <f t="shared" ca="1" si="38"/>
        <v>3.85</v>
      </c>
      <c r="D425">
        <f t="shared" ca="1" si="39"/>
        <v>10090</v>
      </c>
      <c r="E425">
        <f t="shared" ca="1" si="36"/>
        <v>7.7583190333268728E-2</v>
      </c>
      <c r="F425">
        <f t="shared" ca="1" si="40"/>
        <v>1.01</v>
      </c>
      <c r="G425" s="2">
        <f t="shared" ca="1" si="41"/>
        <v>45731</v>
      </c>
    </row>
    <row r="426" spans="1:7" x14ac:dyDescent="0.2">
      <c r="A426" t="s">
        <v>430</v>
      </c>
      <c r="B426" t="str">
        <f t="shared" ca="1" si="37"/>
        <v>HPLC_01</v>
      </c>
      <c r="C426">
        <f t="shared" ca="1" si="38"/>
        <v>5.33</v>
      </c>
      <c r="D426">
        <f t="shared" ca="1" si="39"/>
        <v>10069</v>
      </c>
      <c r="E426">
        <f t="shared" ca="1" si="36"/>
        <v>0.10274018374928581</v>
      </c>
      <c r="F426">
        <f t="shared" ca="1" si="40"/>
        <v>1.01</v>
      </c>
      <c r="G426" s="2">
        <f t="shared" ca="1" si="41"/>
        <v>45702</v>
      </c>
    </row>
    <row r="427" spans="1:7" x14ac:dyDescent="0.2">
      <c r="A427" t="s">
        <v>431</v>
      </c>
      <c r="B427" t="str">
        <f t="shared" ca="1" si="37"/>
        <v>GC_02</v>
      </c>
      <c r="C427">
        <f t="shared" ca="1" si="38"/>
        <v>3.52</v>
      </c>
      <c r="D427">
        <f t="shared" ca="1" si="39"/>
        <v>10171</v>
      </c>
      <c r="E427">
        <f t="shared" ca="1" si="36"/>
        <v>8.2729732809548567E-2</v>
      </c>
      <c r="F427">
        <f t="shared" ca="1" si="40"/>
        <v>1.02</v>
      </c>
      <c r="G427" s="2">
        <f t="shared" ca="1" si="41"/>
        <v>45666</v>
      </c>
    </row>
    <row r="428" spans="1:7" x14ac:dyDescent="0.2">
      <c r="A428" t="s">
        <v>432</v>
      </c>
      <c r="B428" t="str">
        <f t="shared" ca="1" si="37"/>
        <v>GC_02</v>
      </c>
      <c r="C428">
        <f t="shared" ca="1" si="38"/>
        <v>3.51</v>
      </c>
      <c r="D428">
        <f t="shared" ca="1" si="39"/>
        <v>9862</v>
      </c>
      <c r="E428">
        <f t="shared" ca="1" si="36"/>
        <v>8.6171831269208743E-2</v>
      </c>
      <c r="F428">
        <f t="shared" ca="1" si="40"/>
        <v>0.99</v>
      </c>
      <c r="G428" s="2">
        <f t="shared" ca="1" si="41"/>
        <v>45675</v>
      </c>
    </row>
    <row r="429" spans="1:7" x14ac:dyDescent="0.2">
      <c r="A429" t="s">
        <v>433</v>
      </c>
      <c r="B429" t="str">
        <f t="shared" ca="1" si="37"/>
        <v>GC_02</v>
      </c>
      <c r="C429">
        <f t="shared" ca="1" si="38"/>
        <v>3.68</v>
      </c>
      <c r="D429">
        <f t="shared" ca="1" si="39"/>
        <v>9877</v>
      </c>
      <c r="E429">
        <f t="shared" ca="1" si="36"/>
        <v>8.4851933246606517E-2</v>
      </c>
      <c r="F429">
        <f t="shared" ca="1" si="40"/>
        <v>0.99</v>
      </c>
      <c r="G429" s="2">
        <f t="shared" ca="1" si="41"/>
        <v>45727</v>
      </c>
    </row>
    <row r="430" spans="1:7" x14ac:dyDescent="0.2">
      <c r="A430" t="s">
        <v>434</v>
      </c>
      <c r="B430" t="str">
        <f t="shared" ca="1" si="37"/>
        <v>GC_02</v>
      </c>
      <c r="C430">
        <f t="shared" ca="1" si="38"/>
        <v>3.75</v>
      </c>
      <c r="D430">
        <f t="shared" ca="1" si="39"/>
        <v>9748</v>
      </c>
      <c r="E430">
        <f t="shared" ca="1" si="36"/>
        <v>9.7505607130458957E-2</v>
      </c>
      <c r="F430">
        <f t="shared" ca="1" si="40"/>
        <v>0.97</v>
      </c>
      <c r="G430" s="2">
        <f t="shared" ca="1" si="41"/>
        <v>45722</v>
      </c>
    </row>
    <row r="431" spans="1:7" x14ac:dyDescent="0.2">
      <c r="A431" t="s">
        <v>435</v>
      </c>
      <c r="B431" t="str">
        <f t="shared" ca="1" si="37"/>
        <v>GC_02</v>
      </c>
      <c r="C431">
        <f t="shared" ca="1" si="38"/>
        <v>3.77</v>
      </c>
      <c r="D431">
        <f t="shared" ca="1" si="39"/>
        <v>9760</v>
      </c>
      <c r="E431">
        <f t="shared" ca="1" si="36"/>
        <v>7.6933907619583103E-2</v>
      </c>
      <c r="F431">
        <f t="shared" ca="1" si="40"/>
        <v>0.98</v>
      </c>
      <c r="G431" s="2">
        <f t="shared" ca="1" si="41"/>
        <v>45707</v>
      </c>
    </row>
    <row r="432" spans="1:7" x14ac:dyDescent="0.2">
      <c r="A432" t="s">
        <v>436</v>
      </c>
      <c r="B432" t="str">
        <f t="shared" ca="1" si="37"/>
        <v>HPLC_01</v>
      </c>
      <c r="C432">
        <f t="shared" ca="1" si="38"/>
        <v>5.26</v>
      </c>
      <c r="D432">
        <f t="shared" ca="1" si="39"/>
        <v>10771</v>
      </c>
      <c r="E432">
        <f t="shared" ca="1" si="36"/>
        <v>0.10267277664522069</v>
      </c>
      <c r="F432">
        <f t="shared" ca="1" si="40"/>
        <v>1.08</v>
      </c>
      <c r="G432" s="2">
        <f t="shared" ca="1" si="41"/>
        <v>45691</v>
      </c>
    </row>
    <row r="433" spans="1:7" x14ac:dyDescent="0.2">
      <c r="A433" t="s">
        <v>437</v>
      </c>
      <c r="B433" t="str">
        <f t="shared" ca="1" si="37"/>
        <v>GC_02</v>
      </c>
      <c r="C433">
        <f t="shared" ca="1" si="38"/>
        <v>3.73</v>
      </c>
      <c r="D433">
        <f t="shared" ca="1" si="39"/>
        <v>10033</v>
      </c>
      <c r="E433">
        <f t="shared" ca="1" si="36"/>
        <v>9.099068542715702E-2</v>
      </c>
      <c r="F433">
        <f t="shared" ca="1" si="40"/>
        <v>1</v>
      </c>
      <c r="G433" s="2">
        <f t="shared" ca="1" si="41"/>
        <v>45687</v>
      </c>
    </row>
    <row r="434" spans="1:7" x14ac:dyDescent="0.2">
      <c r="A434" t="s">
        <v>438</v>
      </c>
      <c r="B434" t="str">
        <f t="shared" ca="1" si="37"/>
        <v>HPLC_01</v>
      </c>
      <c r="C434">
        <f t="shared" ca="1" si="38"/>
        <v>5.16</v>
      </c>
      <c r="D434">
        <f t="shared" ca="1" si="39"/>
        <v>10096</v>
      </c>
      <c r="E434">
        <f t="shared" ca="1" si="36"/>
        <v>8.9693016665659195E-2</v>
      </c>
      <c r="F434">
        <f t="shared" ca="1" si="40"/>
        <v>1.01</v>
      </c>
      <c r="G434" s="2">
        <f t="shared" ca="1" si="41"/>
        <v>45699</v>
      </c>
    </row>
    <row r="435" spans="1:7" x14ac:dyDescent="0.2">
      <c r="A435" t="s">
        <v>439</v>
      </c>
      <c r="B435" t="str">
        <f t="shared" ca="1" si="37"/>
        <v>HPLC_01</v>
      </c>
      <c r="C435">
        <f t="shared" ca="1" si="38"/>
        <v>5.08</v>
      </c>
      <c r="D435">
        <f t="shared" ca="1" si="39"/>
        <v>10663</v>
      </c>
      <c r="E435">
        <f t="shared" ca="1" si="36"/>
        <v>9.1130231292523289E-2</v>
      </c>
      <c r="F435">
        <f t="shared" ca="1" si="40"/>
        <v>1.07</v>
      </c>
      <c r="G435" s="2">
        <f t="shared" ca="1" si="41"/>
        <v>45675</v>
      </c>
    </row>
    <row r="436" spans="1:7" x14ac:dyDescent="0.2">
      <c r="A436" t="s">
        <v>440</v>
      </c>
      <c r="B436" t="str">
        <f t="shared" ca="1" si="37"/>
        <v>HPLC_01</v>
      </c>
      <c r="C436">
        <f t="shared" ca="1" si="38"/>
        <v>5.27</v>
      </c>
      <c r="D436">
        <f t="shared" ca="1" si="39"/>
        <v>10753</v>
      </c>
      <c r="E436">
        <f t="shared" ca="1" si="36"/>
        <v>0.11578155605096928</v>
      </c>
      <c r="F436">
        <f t="shared" ca="1" si="40"/>
        <v>1.08</v>
      </c>
      <c r="G436" s="2">
        <f t="shared" ca="1" si="41"/>
        <v>45717</v>
      </c>
    </row>
    <row r="437" spans="1:7" x14ac:dyDescent="0.2">
      <c r="A437" t="s">
        <v>441</v>
      </c>
      <c r="B437" t="str">
        <f t="shared" ca="1" si="37"/>
        <v>GC_02</v>
      </c>
      <c r="C437">
        <f t="shared" ca="1" si="38"/>
        <v>3.7</v>
      </c>
      <c r="D437">
        <f t="shared" ca="1" si="39"/>
        <v>9525</v>
      </c>
      <c r="E437">
        <f t="shared" ca="1" si="36"/>
        <v>9.2766720499016533E-2</v>
      </c>
      <c r="F437">
        <f t="shared" ca="1" si="40"/>
        <v>0.95</v>
      </c>
      <c r="G437" s="2">
        <f t="shared" ca="1" si="41"/>
        <v>45721</v>
      </c>
    </row>
    <row r="438" spans="1:7" x14ac:dyDescent="0.2">
      <c r="A438" t="s">
        <v>442</v>
      </c>
      <c r="B438" t="str">
        <f t="shared" ca="1" si="37"/>
        <v>HPLC_01</v>
      </c>
      <c r="C438">
        <f t="shared" ca="1" si="38"/>
        <v>5.48</v>
      </c>
      <c r="D438">
        <f t="shared" ca="1" si="39"/>
        <v>10398</v>
      </c>
      <c r="E438">
        <f t="shared" ca="1" si="36"/>
        <v>0.10297189772005506</v>
      </c>
      <c r="F438">
        <f t="shared" ca="1" si="40"/>
        <v>1.04</v>
      </c>
      <c r="G438" s="2">
        <f t="shared" ca="1" si="41"/>
        <v>45695</v>
      </c>
    </row>
    <row r="439" spans="1:7" x14ac:dyDescent="0.2">
      <c r="A439" t="s">
        <v>443</v>
      </c>
      <c r="B439" t="str">
        <f t="shared" ca="1" si="37"/>
        <v>HPLC_01</v>
      </c>
      <c r="C439">
        <f t="shared" ca="1" si="38"/>
        <v>5.26</v>
      </c>
      <c r="D439">
        <f t="shared" ca="1" si="39"/>
        <v>10637</v>
      </c>
      <c r="E439">
        <f t="shared" ca="1" si="36"/>
        <v>0.10888435250293708</v>
      </c>
      <c r="F439">
        <f t="shared" ca="1" si="40"/>
        <v>1.06</v>
      </c>
      <c r="G439" s="2">
        <f t="shared" ca="1" si="41"/>
        <v>45720</v>
      </c>
    </row>
    <row r="440" spans="1:7" x14ac:dyDescent="0.2">
      <c r="A440" t="s">
        <v>444</v>
      </c>
      <c r="B440" t="str">
        <f t="shared" ca="1" si="37"/>
        <v>GC_02</v>
      </c>
      <c r="C440">
        <f t="shared" ca="1" si="38"/>
        <v>3.57</v>
      </c>
      <c r="D440">
        <f t="shared" ca="1" si="39"/>
        <v>10063</v>
      </c>
      <c r="E440">
        <f t="shared" ca="1" si="36"/>
        <v>8.1739340407591274E-2</v>
      </c>
      <c r="F440">
        <f t="shared" ca="1" si="40"/>
        <v>1.01</v>
      </c>
      <c r="G440" s="2">
        <f t="shared" ca="1" si="41"/>
        <v>45677</v>
      </c>
    </row>
    <row r="441" spans="1:7" x14ac:dyDescent="0.2">
      <c r="A441" t="s">
        <v>445</v>
      </c>
      <c r="B441" t="str">
        <f t="shared" ca="1" si="37"/>
        <v>HPLC_01</v>
      </c>
      <c r="C441">
        <f t="shared" ca="1" si="38"/>
        <v>5.24</v>
      </c>
      <c r="D441">
        <f t="shared" ca="1" si="39"/>
        <v>10308</v>
      </c>
      <c r="E441">
        <f t="shared" ca="1" si="36"/>
        <v>0.10503939488418521</v>
      </c>
      <c r="F441">
        <f t="shared" ca="1" si="40"/>
        <v>1.03</v>
      </c>
      <c r="G441" s="2">
        <f t="shared" ca="1" si="41"/>
        <v>45701</v>
      </c>
    </row>
    <row r="442" spans="1:7" x14ac:dyDescent="0.2">
      <c r="A442" t="s">
        <v>446</v>
      </c>
      <c r="B442" t="str">
        <f t="shared" ca="1" si="37"/>
        <v>GC_02</v>
      </c>
      <c r="C442">
        <f t="shared" ca="1" si="38"/>
        <v>3.76</v>
      </c>
      <c r="D442">
        <f t="shared" ca="1" si="39"/>
        <v>9576</v>
      </c>
      <c r="E442">
        <f t="shared" ca="1" si="36"/>
        <v>7.6253772600871156E-2</v>
      </c>
      <c r="F442">
        <f t="shared" ca="1" si="40"/>
        <v>0.96</v>
      </c>
      <c r="G442" s="2">
        <f t="shared" ca="1" si="41"/>
        <v>45710</v>
      </c>
    </row>
    <row r="443" spans="1:7" x14ac:dyDescent="0.2">
      <c r="A443" t="s">
        <v>447</v>
      </c>
      <c r="B443" t="str">
        <f t="shared" ca="1" si="37"/>
        <v>HPLC_01</v>
      </c>
      <c r="C443">
        <f t="shared" ca="1" si="38"/>
        <v>5.29</v>
      </c>
      <c r="D443">
        <f t="shared" ca="1" si="39"/>
        <v>10081</v>
      </c>
      <c r="E443">
        <f t="shared" ca="1" si="36"/>
        <v>9.7484144425266414E-2</v>
      </c>
      <c r="F443">
        <f t="shared" ca="1" si="40"/>
        <v>1.01</v>
      </c>
      <c r="G443" s="2">
        <f t="shared" ca="1" si="41"/>
        <v>45708</v>
      </c>
    </row>
    <row r="444" spans="1:7" x14ac:dyDescent="0.2">
      <c r="A444" t="s">
        <v>448</v>
      </c>
      <c r="B444" t="str">
        <f t="shared" ca="1" si="37"/>
        <v>HPLC_01</v>
      </c>
      <c r="C444">
        <f t="shared" ca="1" si="38"/>
        <v>5.3</v>
      </c>
      <c r="D444">
        <f t="shared" ca="1" si="39"/>
        <v>10761</v>
      </c>
      <c r="E444">
        <f t="shared" ca="1" si="36"/>
        <v>9.9122027250760664E-2</v>
      </c>
      <c r="F444">
        <f t="shared" ca="1" si="40"/>
        <v>1.08</v>
      </c>
      <c r="G444" s="2">
        <f t="shared" ca="1" si="41"/>
        <v>45676</v>
      </c>
    </row>
    <row r="445" spans="1:7" x14ac:dyDescent="0.2">
      <c r="A445" t="s">
        <v>449</v>
      </c>
      <c r="B445" t="str">
        <f t="shared" ca="1" si="37"/>
        <v>GC_02</v>
      </c>
      <c r="C445">
        <f t="shared" ca="1" si="38"/>
        <v>3.83</v>
      </c>
      <c r="D445">
        <f t="shared" ca="1" si="39"/>
        <v>9576</v>
      </c>
      <c r="E445">
        <f t="shared" ca="1" si="36"/>
        <v>8.9559491153939463E-2</v>
      </c>
      <c r="F445">
        <f t="shared" ca="1" si="40"/>
        <v>0.96</v>
      </c>
      <c r="G445" s="2">
        <f t="shared" ca="1" si="41"/>
        <v>45729</v>
      </c>
    </row>
    <row r="446" spans="1:7" x14ac:dyDescent="0.2">
      <c r="A446" t="s">
        <v>450</v>
      </c>
      <c r="B446" t="str">
        <f t="shared" ca="1" si="37"/>
        <v>GC_02</v>
      </c>
      <c r="C446">
        <f t="shared" ca="1" si="38"/>
        <v>3.62</v>
      </c>
      <c r="D446">
        <f t="shared" ca="1" si="39"/>
        <v>10192</v>
      </c>
      <c r="E446">
        <f t="shared" ca="1" si="36"/>
        <v>8.6439610261200242E-2</v>
      </c>
      <c r="F446">
        <f t="shared" ca="1" si="40"/>
        <v>1.02</v>
      </c>
      <c r="G446" s="2">
        <f t="shared" ca="1" si="41"/>
        <v>45678</v>
      </c>
    </row>
    <row r="447" spans="1:7" x14ac:dyDescent="0.2">
      <c r="A447" t="s">
        <v>451</v>
      </c>
      <c r="B447" t="str">
        <f t="shared" ca="1" si="37"/>
        <v>GC_02</v>
      </c>
      <c r="C447">
        <f t="shared" ca="1" si="38"/>
        <v>3.89</v>
      </c>
      <c r="D447">
        <f t="shared" ca="1" si="39"/>
        <v>9824</v>
      </c>
      <c r="E447">
        <f t="shared" ca="1" si="36"/>
        <v>7.3512900040682144E-2</v>
      </c>
      <c r="F447">
        <f t="shared" ca="1" si="40"/>
        <v>0.98</v>
      </c>
      <c r="G447" s="2">
        <f t="shared" ca="1" si="41"/>
        <v>45706</v>
      </c>
    </row>
    <row r="448" spans="1:7" x14ac:dyDescent="0.2">
      <c r="A448" t="s">
        <v>452</v>
      </c>
      <c r="B448" t="str">
        <f t="shared" ca="1" si="37"/>
        <v>HPLC_01</v>
      </c>
      <c r="C448">
        <f t="shared" ca="1" si="38"/>
        <v>5.26</v>
      </c>
      <c r="D448">
        <f t="shared" ca="1" si="39"/>
        <v>10586</v>
      </c>
      <c r="E448">
        <f t="shared" ca="1" si="36"/>
        <v>0.11836005234990526</v>
      </c>
      <c r="F448">
        <f t="shared" ca="1" si="40"/>
        <v>1.06</v>
      </c>
      <c r="G448" s="2">
        <f t="shared" ca="1" si="41"/>
        <v>45744</v>
      </c>
    </row>
    <row r="449" spans="1:7" x14ac:dyDescent="0.2">
      <c r="A449" t="s">
        <v>453</v>
      </c>
      <c r="B449" t="str">
        <f t="shared" ca="1" si="37"/>
        <v>GC_02</v>
      </c>
      <c r="C449">
        <f t="shared" ca="1" si="38"/>
        <v>3.83</v>
      </c>
      <c r="D449">
        <f t="shared" ca="1" si="39"/>
        <v>9521</v>
      </c>
      <c r="E449">
        <f t="shared" ca="1" si="36"/>
        <v>9.2223215906990938E-2</v>
      </c>
      <c r="F449">
        <f t="shared" ca="1" si="40"/>
        <v>0.95</v>
      </c>
      <c r="G449" s="2">
        <f t="shared" ca="1" si="41"/>
        <v>45679</v>
      </c>
    </row>
    <row r="450" spans="1:7" x14ac:dyDescent="0.2">
      <c r="A450" t="s">
        <v>454</v>
      </c>
      <c r="B450" t="str">
        <f t="shared" ca="1" si="37"/>
        <v>HPLC_01</v>
      </c>
      <c r="C450">
        <f t="shared" ca="1" si="38"/>
        <v>5.47</v>
      </c>
      <c r="D450">
        <f t="shared" ca="1" si="39"/>
        <v>10484</v>
      </c>
      <c r="E450">
        <f t="shared" ca="1" si="36"/>
        <v>0.12175412458641449</v>
      </c>
      <c r="F450">
        <f t="shared" ca="1" si="40"/>
        <v>1.05</v>
      </c>
      <c r="G450" s="2">
        <f t="shared" ca="1" si="41"/>
        <v>45748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checking_missing values</vt:lpstr>
      <vt:lpstr>simulated_data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Christopher Edozie Sunday</dc:creator>
  <cp:lastModifiedBy>Dr. Christopher Edozie Sunday</cp:lastModifiedBy>
  <dcterms:created xsi:type="dcterms:W3CDTF">2025-11-09T18:21:25Z</dcterms:created>
  <dcterms:modified xsi:type="dcterms:W3CDTF">2025-11-19T04:04:12Z</dcterms:modified>
</cp:coreProperties>
</file>